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tevi\OneDrive\Desktop\Roadmap to Data Analyst\Portfolio Projects\Staff Metrics Dashboard\"/>
    </mc:Choice>
  </mc:AlternateContent>
  <xr:revisionPtr revIDLastSave="0" documentId="13_ncr:1_{0DF89726-A2BC-4403-A33C-B2ED5B37CB4F}" xr6:coauthVersionLast="47" xr6:coauthVersionMax="47" xr10:uidLastSave="{00000000-0000-0000-0000-000000000000}"/>
  <bookViews>
    <workbookView xWindow="-108" yWindow="-108" windowWidth="23256" windowHeight="12456" xr2:uid="{4C883383-AFC7-4743-811F-F722E5720DD1}"/>
  </bookViews>
  <sheets>
    <sheet name="Report" sheetId="4" r:id="rId1"/>
    <sheet name="Employee_Data" sheetId="2" r:id="rId2"/>
    <sheet name="Calculations" sheetId="3" r:id="rId3"/>
  </sheets>
  <definedNames>
    <definedName name="_xlchart.v5.0" hidden="1">Calculations!$G$18</definedName>
    <definedName name="_xlchart.v5.1" hidden="1">Calculations!$G$19:$G$23</definedName>
    <definedName name="_xlchart.v5.2" hidden="1">Calculations!$H$18</definedName>
    <definedName name="_xlchart.v5.3" hidden="1">Calculations!$H$19:$H$23</definedName>
    <definedName name="_xlchart.v5.4" hidden="1">Calculations!$G$18</definedName>
    <definedName name="_xlchart.v5.5" hidden="1">Calculations!$G$19:$G$23</definedName>
    <definedName name="_xlchart.v5.6" hidden="1">Calculations!$H$18</definedName>
    <definedName name="_xlchart.v5.7" hidden="1">Calculations!$H$19:$H$23</definedName>
    <definedName name="FromArray_1">_xlfn.ANCHORARRAY(Calculations!#REF!)</definedName>
    <definedName name="_xlnm.Print_Area" localSheetId="0">Report!$A$1:$U$32</definedName>
    <definedName name="Slicer_Department">#N/A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3" l="1" a="1"/>
  <c r="G18" i="3"/>
  <c r="D16" i="3"/>
  <c r="D14" i="3"/>
  <c r="L3" i="3"/>
  <c r="I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<sst xmlns="http://schemas.openxmlformats.org/spreadsheetml/2006/main" count="1671" uniqueCount="389">
  <si>
    <t>Department</t>
  </si>
  <si>
    <t>Cost Centre</t>
  </si>
  <si>
    <t>Employee ID</t>
  </si>
  <si>
    <t>Name</t>
  </si>
  <si>
    <t>Salary</t>
  </si>
  <si>
    <t>Start Date</t>
  </si>
  <si>
    <t>FTE</t>
  </si>
  <si>
    <t>Employment type</t>
  </si>
  <si>
    <t>State</t>
  </si>
  <si>
    <t>XEX</t>
  </si>
  <si>
    <t>Tasha Hall</t>
  </si>
  <si>
    <t>Operations</t>
  </si>
  <si>
    <t>Fixed Term</t>
  </si>
  <si>
    <t>California</t>
  </si>
  <si>
    <t>ARK</t>
  </si>
  <si>
    <t>Jesse Woods</t>
  </si>
  <si>
    <t>Finance</t>
  </si>
  <si>
    <t>Permanent</t>
  </si>
  <si>
    <t>Texas</t>
  </si>
  <si>
    <t>BKI</t>
  </si>
  <si>
    <t>Deanna Johnson</t>
  </si>
  <si>
    <t>Sales</t>
  </si>
  <si>
    <t>QGV</t>
  </si>
  <si>
    <t>George Woodward</t>
  </si>
  <si>
    <t>Marketing</t>
  </si>
  <si>
    <t>VWJ</t>
  </si>
  <si>
    <t>Shawn Tran</t>
  </si>
  <si>
    <t>EZC</t>
  </si>
  <si>
    <t>Kevin Miller</t>
  </si>
  <si>
    <t>Elizabeth Bennett</t>
  </si>
  <si>
    <t>Calvin Walker</t>
  </si>
  <si>
    <t>HR</t>
  </si>
  <si>
    <t>Cynthia White</t>
  </si>
  <si>
    <t>ROG</t>
  </si>
  <si>
    <t>Matthew Callahan</t>
  </si>
  <si>
    <t>Temporary</t>
  </si>
  <si>
    <t>Jennifer Park</t>
  </si>
  <si>
    <t>IT</t>
  </si>
  <si>
    <t>SSV</t>
  </si>
  <si>
    <t>Edwin Butler</t>
  </si>
  <si>
    <t>Leslie Evans</t>
  </si>
  <si>
    <t>Washington</t>
  </si>
  <si>
    <t>David Chen</t>
  </si>
  <si>
    <t>Kendra Bennett</t>
  </si>
  <si>
    <t>Victor Valenzuela</t>
  </si>
  <si>
    <t>Jacob Farley</t>
  </si>
  <si>
    <t>Cody Rodriguez</t>
  </si>
  <si>
    <t>HMN</t>
  </si>
  <si>
    <t>Larry Moore</t>
  </si>
  <si>
    <t>Tanya Lopez</t>
  </si>
  <si>
    <t>Christopher Chung</t>
  </si>
  <si>
    <t>Joseph Kelly</t>
  </si>
  <si>
    <t>Angelica Fischer</t>
  </si>
  <si>
    <t>Ronald Cole</t>
  </si>
  <si>
    <t>Daniel Wilson</t>
  </si>
  <si>
    <t>Elizabeth Lynch</t>
  </si>
  <si>
    <t>Paul Davis</t>
  </si>
  <si>
    <t>Joshua Sullivan</t>
  </si>
  <si>
    <t>New York</t>
  </si>
  <si>
    <t>Devin Barnett</t>
  </si>
  <si>
    <t>Oregon</t>
  </si>
  <si>
    <t>James Zamora</t>
  </si>
  <si>
    <t>Jill Francis</t>
  </si>
  <si>
    <t>Seth Chambers</t>
  </si>
  <si>
    <t>Bradley Jones</t>
  </si>
  <si>
    <t>Joseph Wilson</t>
  </si>
  <si>
    <t>Stephanie Gill</t>
  </si>
  <si>
    <t>Scott Campbell</t>
  </si>
  <si>
    <t>Joseph Clark</t>
  </si>
  <si>
    <t>Tyler Stephens</t>
  </si>
  <si>
    <t>Sue Ramirez</t>
  </si>
  <si>
    <t>Keith Taylor</t>
  </si>
  <si>
    <t>Bryan Morales</t>
  </si>
  <si>
    <t>Justin Evans</t>
  </si>
  <si>
    <t>Natalie Robinson</t>
  </si>
  <si>
    <t>Jonathan Vasquez</t>
  </si>
  <si>
    <t>Nevada</t>
  </si>
  <si>
    <t>Charles Simpson</t>
  </si>
  <si>
    <t>Cindy Kelly</t>
  </si>
  <si>
    <t>Willie Mathis</t>
  </si>
  <si>
    <t>Melissa Miller</t>
  </si>
  <si>
    <t>Tammy Foster</t>
  </si>
  <si>
    <t>Brian Smith</t>
  </si>
  <si>
    <t>Martin Carter</t>
  </si>
  <si>
    <t>Brenda Berry</t>
  </si>
  <si>
    <t>Jeffrey Moran</t>
  </si>
  <si>
    <t>Gary Wong</t>
  </si>
  <si>
    <t>Brittany Fitzpatrick</t>
  </si>
  <si>
    <t>Eugene Clark</t>
  </si>
  <si>
    <t>Gregory Lucero</t>
  </si>
  <si>
    <t>SFB</t>
  </si>
  <si>
    <t>John Blair</t>
  </si>
  <si>
    <t>Jessica Harris</t>
  </si>
  <si>
    <t>Susan Johnson</t>
  </si>
  <si>
    <t>Shelby Cox</t>
  </si>
  <si>
    <t>Megan Hall</t>
  </si>
  <si>
    <t>Brandon Melton</t>
  </si>
  <si>
    <t>Patricia Andrade</t>
  </si>
  <si>
    <t>Anthony Terry</t>
  </si>
  <si>
    <t>Mariah Payne</t>
  </si>
  <si>
    <t>Jessica Gibson</t>
  </si>
  <si>
    <t>John Rogers</t>
  </si>
  <si>
    <t>Anthony Bailey</t>
  </si>
  <si>
    <t>Adam Brown</t>
  </si>
  <si>
    <t>Daniel Franklin</t>
  </si>
  <si>
    <t>Connie Lee</t>
  </si>
  <si>
    <t>Lisa Miller</t>
  </si>
  <si>
    <t>Joshua Barry</t>
  </si>
  <si>
    <t>Joseph Lee</t>
  </si>
  <si>
    <t>Sergio Reed</t>
  </si>
  <si>
    <t>Danielle Daniel</t>
  </si>
  <si>
    <t>Jose Cruz</t>
  </si>
  <si>
    <t>David Torres</t>
  </si>
  <si>
    <t>Alexandra Simpson</t>
  </si>
  <si>
    <t>Thomas Jenkins</t>
  </si>
  <si>
    <t>Jeremiah Miller II</t>
  </si>
  <si>
    <t>Brittany Henson</t>
  </si>
  <si>
    <t>Lonnie Meyers</t>
  </si>
  <si>
    <t>Stacie Foster</t>
  </si>
  <si>
    <t>Danielle Robinson</t>
  </si>
  <si>
    <t>Diana Bell</t>
  </si>
  <si>
    <t>Ashley Lam</t>
  </si>
  <si>
    <t>Michelle Waters</t>
  </si>
  <si>
    <t>Julia Walters</t>
  </si>
  <si>
    <t>Alan Mendez</t>
  </si>
  <si>
    <t>Carrie Perry</t>
  </si>
  <si>
    <t>Shawn Osborn</t>
  </si>
  <si>
    <t>Joseph Patterson</t>
  </si>
  <si>
    <t>James Nelson</t>
  </si>
  <si>
    <t>Krystal Hall</t>
  </si>
  <si>
    <t>Kimberly Campbell</t>
  </si>
  <si>
    <t>Stephanie Brown</t>
  </si>
  <si>
    <t>Garrett Brooks</t>
  </si>
  <si>
    <t>Mr. Chad Smith</t>
  </si>
  <si>
    <t>Holly Walters</t>
  </si>
  <si>
    <t>Sherri Moore</t>
  </si>
  <si>
    <t>William Taylor</t>
  </si>
  <si>
    <t>Thomas Crawford</t>
  </si>
  <si>
    <t>Tracy Young</t>
  </si>
  <si>
    <t>David Cruz</t>
  </si>
  <si>
    <t>Brandi Jimenez</t>
  </si>
  <si>
    <t>Lisa Johnson</t>
  </si>
  <si>
    <t>Katherine Parker</t>
  </si>
  <si>
    <t>Kristi Martin</t>
  </si>
  <si>
    <t>Wisconsin</t>
  </si>
  <si>
    <t>Rhonda Mclaughlin</t>
  </si>
  <si>
    <t>Michele Miller</t>
  </si>
  <si>
    <t>James Lee</t>
  </si>
  <si>
    <t>Eddie Acevedo</t>
  </si>
  <si>
    <t>Ethan Burgess</t>
  </si>
  <si>
    <t>Scott Barnett</t>
  </si>
  <si>
    <t>Courtney Cooper</t>
  </si>
  <si>
    <t>Alan Berry</t>
  </si>
  <si>
    <t>Mark Gomez</t>
  </si>
  <si>
    <t>Antonio Allen Jr.</t>
  </si>
  <si>
    <t>Erin Nicholson</t>
  </si>
  <si>
    <t>Matthew Taylor</t>
  </si>
  <si>
    <t>Joann Thomas</t>
  </si>
  <si>
    <t>Matthew Chandler</t>
  </si>
  <si>
    <t>Jennifer Smith</t>
  </si>
  <si>
    <t>Kimberly Ballard</t>
  </si>
  <si>
    <t>Olivia Cunningham</t>
  </si>
  <si>
    <t>Troy Jackson</t>
  </si>
  <si>
    <t>Lisa Stanley</t>
  </si>
  <si>
    <t>Ronald Thompson</t>
  </si>
  <si>
    <t>Tina Kemp</t>
  </si>
  <si>
    <t>Sara Hoffman</t>
  </si>
  <si>
    <t>Jessica Hancock</t>
  </si>
  <si>
    <t>Mark Mckinney</t>
  </si>
  <si>
    <t>Amanda Peterson</t>
  </si>
  <si>
    <t>Jamie Garrett</t>
  </si>
  <si>
    <t>Kathleen Howard</t>
  </si>
  <si>
    <t>Judith Romero</t>
  </si>
  <si>
    <t>Paul Morgan</t>
  </si>
  <si>
    <t>Terry Smith</t>
  </si>
  <si>
    <t>Donna Harrison</t>
  </si>
  <si>
    <t>Joseph Arnold</t>
  </si>
  <si>
    <t>Amanda Foster</t>
  </si>
  <si>
    <t>Gregory Williams</t>
  </si>
  <si>
    <t>Zachary King</t>
  </si>
  <si>
    <t>Michele Hickman</t>
  </si>
  <si>
    <t>Pamela Farmer</t>
  </si>
  <si>
    <t>Ruben King</t>
  </si>
  <si>
    <t>William Ballard</t>
  </si>
  <si>
    <t>Dana Craig</t>
  </si>
  <si>
    <t>Sheri Martin</t>
  </si>
  <si>
    <t>Brittany Mathis</t>
  </si>
  <si>
    <t>Lauren Williams</t>
  </si>
  <si>
    <t>Gregory Carter</t>
  </si>
  <si>
    <t>Johnny Powell</t>
  </si>
  <si>
    <t>Christopher Kramer</t>
  </si>
  <si>
    <t>Jessica Peterson</t>
  </si>
  <si>
    <t>Nathan Browning</t>
  </si>
  <si>
    <t>Mary Scott</t>
  </si>
  <si>
    <t>Andrea Boyle</t>
  </si>
  <si>
    <t>Ronald Moreno</t>
  </si>
  <si>
    <t>Mark Riley</t>
  </si>
  <si>
    <t>Lynn Daniels</t>
  </si>
  <si>
    <t>Jeffrey Collins</t>
  </si>
  <si>
    <t>Richard Weiss</t>
  </si>
  <si>
    <t>David Rose</t>
  </si>
  <si>
    <t>Gordon Thornton</t>
  </si>
  <si>
    <t>Charles Smith</t>
  </si>
  <si>
    <t>Rachel Miles</t>
  </si>
  <si>
    <t>Janet Marshall</t>
  </si>
  <si>
    <t>Thomas Fields</t>
  </si>
  <si>
    <t>Illinois</t>
  </si>
  <si>
    <t>Paige Yoder</t>
  </si>
  <si>
    <t>William Moore</t>
  </si>
  <si>
    <t>Henry Graves</t>
  </si>
  <si>
    <t>Nicolas Duncan</t>
  </si>
  <si>
    <t>Cody Chang</t>
  </si>
  <si>
    <t>Kenneth Young</t>
  </si>
  <si>
    <t>Sharon Jacobson</t>
  </si>
  <si>
    <t>Ashlee Lopez</t>
  </si>
  <si>
    <t>Austin Simmons</t>
  </si>
  <si>
    <t>Dillon Kim</t>
  </si>
  <si>
    <t>Heather Murphy</t>
  </si>
  <si>
    <t>Johnathan Farmer</t>
  </si>
  <si>
    <t>James Graham</t>
  </si>
  <si>
    <t>Megan Terry</t>
  </si>
  <si>
    <t>Lauren Gomez</t>
  </si>
  <si>
    <t>Kristy Ramirez</t>
  </si>
  <si>
    <t>Jennifer Mccall</t>
  </si>
  <si>
    <t>Brad Hancock</t>
  </si>
  <si>
    <t>Benjamin Love</t>
  </si>
  <si>
    <t>Kaitlin Edwards</t>
  </si>
  <si>
    <t>Tiffany Johnson</t>
  </si>
  <si>
    <t>Calvin Haney</t>
  </si>
  <si>
    <t>Jennifer Thomas</t>
  </si>
  <si>
    <t>Sean Dixon</t>
  </si>
  <si>
    <t>Steven Lozano</t>
  </si>
  <si>
    <t>Michelle Cummings</t>
  </si>
  <si>
    <t>Kelly Colon</t>
  </si>
  <si>
    <t>Melissa Hughes</t>
  </si>
  <si>
    <t>Robert Hess</t>
  </si>
  <si>
    <t>Christopher Baker</t>
  </si>
  <si>
    <t>Erin Erickson</t>
  </si>
  <si>
    <t>Kelly Bryant</t>
  </si>
  <si>
    <t>Nicole Cole</t>
  </si>
  <si>
    <t>Mark Thompson</t>
  </si>
  <si>
    <t>Stephanie Stewart</t>
  </si>
  <si>
    <t>Cheryl Gibbs</t>
  </si>
  <si>
    <t>Robin Boyd</t>
  </si>
  <si>
    <t>Susan Taylor</t>
  </si>
  <si>
    <t>Amy Miller</t>
  </si>
  <si>
    <t>April Hampton</t>
  </si>
  <si>
    <t>Lawrence Hudson</t>
  </si>
  <si>
    <t>James Cox</t>
  </si>
  <si>
    <t>Mallory Taylor</t>
  </si>
  <si>
    <t>Catherine Martinez</t>
  </si>
  <si>
    <t>Lawrence Williams</t>
  </si>
  <si>
    <t>Melissa Robles</t>
  </si>
  <si>
    <t>Lindsay Bauer</t>
  </si>
  <si>
    <t>Thomas Mcintosh</t>
  </si>
  <si>
    <t>Jeremiah Munoz</t>
  </si>
  <si>
    <t>Dawn Collins</t>
  </si>
  <si>
    <t>Jody White</t>
  </si>
  <si>
    <t>Dennis Avery</t>
  </si>
  <si>
    <t>Brent Johnson</t>
  </si>
  <si>
    <t>Jared Vaughn</t>
  </si>
  <si>
    <t>Erica Gibbs</t>
  </si>
  <si>
    <t>Melissa Alvarez</t>
  </si>
  <si>
    <t>Kimberly Morales</t>
  </si>
  <si>
    <t>Tammy Johnson</t>
  </si>
  <si>
    <t>Sara Miller</t>
  </si>
  <si>
    <t>Brett Donaldson</t>
  </si>
  <si>
    <t>Jose Ballard</t>
  </si>
  <si>
    <t>April Morgan</t>
  </si>
  <si>
    <t>Melissa Martin</t>
  </si>
  <si>
    <t>Caitlin Frazier</t>
  </si>
  <si>
    <t>Taylor Murphy</t>
  </si>
  <si>
    <t>Tyler Garrett</t>
  </si>
  <si>
    <t>Darrell Reid</t>
  </si>
  <si>
    <t>Vincent Bell</t>
  </si>
  <si>
    <t>Jason Cox</t>
  </si>
  <si>
    <t>Jasmine Townsend</t>
  </si>
  <si>
    <t>Kevin Mcdaniel</t>
  </si>
  <si>
    <t>Carolyn Hernandez</t>
  </si>
  <si>
    <t>Frank Smith</t>
  </si>
  <si>
    <t>Timothy Berry</t>
  </si>
  <si>
    <t>Christian Buchanan</t>
  </si>
  <si>
    <t>Jennifer Bradley</t>
  </si>
  <si>
    <t>Michelle Nielsen</t>
  </si>
  <si>
    <t>Daniel Morales</t>
  </si>
  <si>
    <t>Keith Bell</t>
  </si>
  <si>
    <t>Steven Sanchez</t>
  </si>
  <si>
    <t>Thomas Allen</t>
  </si>
  <si>
    <t>Benjamin King</t>
  </si>
  <si>
    <t>Joseph Daniels</t>
  </si>
  <si>
    <t>Penny Mcdowell</t>
  </si>
  <si>
    <t>Missouri</t>
  </si>
  <si>
    <t>Levi Dillon</t>
  </si>
  <si>
    <t>Mark Ferguson</t>
  </si>
  <si>
    <t>Brianna Long</t>
  </si>
  <si>
    <t>Monica Bray</t>
  </si>
  <si>
    <t>Brian Murray</t>
  </si>
  <si>
    <t>Colorado</t>
  </si>
  <si>
    <t>Christopher Wells</t>
  </si>
  <si>
    <t>Thomas Hancock</t>
  </si>
  <si>
    <t>Ashley Richardson</t>
  </si>
  <si>
    <t>Hunter Kennedy</t>
  </si>
  <si>
    <t>Amy Wiley</t>
  </si>
  <si>
    <t>Nathaniel Nguyen</t>
  </si>
  <si>
    <t>Andrew Arnold</t>
  </si>
  <si>
    <t>Jason Brooks</t>
  </si>
  <si>
    <t>Chad Rodriguez</t>
  </si>
  <si>
    <t>Andre Ray</t>
  </si>
  <si>
    <t>Martin Mann</t>
  </si>
  <si>
    <t>Jeffery Barber</t>
  </si>
  <si>
    <t>Christian Martin</t>
  </si>
  <si>
    <t>Chad Snyder</t>
  </si>
  <si>
    <t>Wyoming</t>
  </si>
  <si>
    <t>Lisa Roberts</t>
  </si>
  <si>
    <t>Melinda Lang</t>
  </si>
  <si>
    <t>Sara Ayala</t>
  </si>
  <si>
    <t>Christopher Burton</t>
  </si>
  <si>
    <t>Kim Thomas</t>
  </si>
  <si>
    <t>Patrick Peters</t>
  </si>
  <si>
    <t>Thomas Gray</t>
  </si>
  <si>
    <t>John Torres</t>
  </si>
  <si>
    <t>Jared Davis</t>
  </si>
  <si>
    <t>Brittany Silva</t>
  </si>
  <si>
    <t>Veronica Keith</t>
  </si>
  <si>
    <t>Richard Wolfe</t>
  </si>
  <si>
    <t>Lindsey Palmer</t>
  </si>
  <si>
    <t>Nicholas Jackson</t>
  </si>
  <si>
    <t>Andrew Wilson</t>
  </si>
  <si>
    <t>Nathan Flores</t>
  </si>
  <si>
    <t>Jackie Horton</t>
  </si>
  <si>
    <t>Robin Perez</t>
  </si>
  <si>
    <t>Juan Kline</t>
  </si>
  <si>
    <t>Katie Blackwell</t>
  </si>
  <si>
    <t>Mason Jackson</t>
  </si>
  <si>
    <t>Jennifer Guerrero</t>
  </si>
  <si>
    <t>Deborah Matthews</t>
  </si>
  <si>
    <t>Carolyn Alexander</t>
  </si>
  <si>
    <t>James Lang</t>
  </si>
  <si>
    <t>John Dove</t>
  </si>
  <si>
    <t>Jane Smithers</t>
  </si>
  <si>
    <t>Alice Johnson</t>
  </si>
  <si>
    <t>Bob Brown</t>
  </si>
  <si>
    <t>Charlie Davis</t>
  </si>
  <si>
    <t>Dana Evans</t>
  </si>
  <si>
    <t>Eve Wilson</t>
  </si>
  <si>
    <t>Frank Harris</t>
  </si>
  <si>
    <t>Grace Hall</t>
  </si>
  <si>
    <t>Harry Clark</t>
  </si>
  <si>
    <t>Irene Lewis</t>
  </si>
  <si>
    <t>Jack Martinez</t>
  </si>
  <si>
    <t>Karen White</t>
  </si>
  <si>
    <t>Larry Young</t>
  </si>
  <si>
    <t>Mary King</t>
  </si>
  <si>
    <t>Nick Allen</t>
  </si>
  <si>
    <t>Olivia Scott</t>
  </si>
  <si>
    <t>Paul Turner</t>
  </si>
  <si>
    <t>Quinn Parker</t>
  </si>
  <si>
    <t>Rita Cooper</t>
  </si>
  <si>
    <t>Calculations</t>
  </si>
  <si>
    <t>Requirements</t>
  </si>
  <si>
    <t>Total Headcount</t>
  </si>
  <si>
    <t>Total FTE</t>
  </si>
  <si>
    <t>Average Salary</t>
  </si>
  <si>
    <t>Top Earner Salary</t>
  </si>
  <si>
    <t>Headcount by department</t>
  </si>
  <si>
    <t>Headcount by Employment type</t>
  </si>
  <si>
    <t>Top 10 earners by department</t>
  </si>
  <si>
    <t>Employees by department and location</t>
  </si>
  <si>
    <t>Header Merics</t>
  </si>
  <si>
    <t>Headcount</t>
  </si>
  <si>
    <t xml:space="preserve">FTE </t>
  </si>
  <si>
    <t>Max. of Salary</t>
  </si>
  <si>
    <t>Row Labels</t>
  </si>
  <si>
    <t>Grand Total</t>
  </si>
  <si>
    <t>💰Finance</t>
  </si>
  <si>
    <t>🧑‍🦲HR</t>
  </si>
  <si>
    <t>💻 IT</t>
  </si>
  <si>
    <t>📈 Marketing</t>
  </si>
  <si>
    <t>⚙️ Operations</t>
  </si>
  <si>
    <t>💼 Sales</t>
  </si>
  <si>
    <t>HEADCOUNT BY DEPARTMENT</t>
  </si>
  <si>
    <t>HEADCOUNT BY EMPLOYEE TYPE</t>
  </si>
  <si>
    <t xml:space="preserve">Salary </t>
  </si>
  <si>
    <t>Top 10</t>
  </si>
  <si>
    <t>TOP 10 EARNERS</t>
  </si>
  <si>
    <t>HEADCOUNT BY LOCATION</t>
  </si>
  <si>
    <t>For slicer</t>
  </si>
  <si>
    <t>Stephen</t>
  </si>
  <si>
    <t>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</si>
</sst>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quot;$&quot;* #,##0_-;_-&quot;$&quot;* &quot;-&quot;??_-;_-@_-"/>
  </numFmts>
  <fonts count="4" x14ac:knownFonts="1">
    <font>
      <sz val="12"/>
      <color theme="1"/>
      <name val="Aptos Narrow"/>
      <family val="2"/>
      <scheme val="minor"/>
    </font>
    <font>
      <b/>
      <sz val="12"/>
      <color theme="1"/>
      <name val="Aptos Narrow"/>
      <family val="2"/>
      <scheme val="minor"/>
    </font>
    <font>
      <sz val="11"/>
      <color theme="1"/>
      <name val="Aptos Narrow"/>
      <family val="2"/>
      <scheme val="minor"/>
    </font>
    <font>
      <sz val="12"/>
      <color theme="1"/>
      <name val="Wingdings 2"/>
      <family val="1"/>
      <charset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style="thick">
        <color theme="0"/>
      </left>
      <right style="thick">
        <color theme="0"/>
      </right>
      <top style="thick">
        <color theme="0"/>
      </top>
      <bottom style="thick">
        <color theme="0"/>
      </bottom>
      <diagonal/>
    </border>
  </borders>
  <cellStyleXfs count="2">
    <xf numFmtId="0" fontId="0" fillId="0" borderId="0"/>
    <xf numFmtId="0" fontId="2" fillId="0" borderId="0"/>
  </cellStyleXfs>
  <cellXfs count="11">
    <xf numFmtId="0" fontId="0" fillId="0" borderId="0" xfId="0"/>
    <xf numFmtId="14" fontId="0" fillId="0" borderId="0" xfId="0" applyNumberFormat="1"/>
    <xf numFmtId="0" fontId="1" fillId="0" borderId="1" xfId="0" applyFont="1" applyBorder="1"/>
    <xf numFmtId="0" fontId="0" fillId="0" borderId="1" xfId="0" applyBorder="1"/>
    <xf numFmtId="0" fontId="3" fillId="0" borderId="0" xfId="0" applyFon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2" xfId="0" applyFill="1" applyBorder="1"/>
  </cellXfs>
  <cellStyles count="2">
    <cellStyle name="Normal" xfId="0" builtinId="0"/>
    <cellStyle name="Normal 2" xfId="1" xr:uid="{7E9130DE-1117-4F04-88AE-D694B67091B9}"/>
  </cellStyles>
  <dxfs count="33">
    <dxf>
      <numFmt numFmtId="165" formatCode="m/d/yyyy"/>
    </dxf>
    <dxf>
      <border>
        <bottom style="thin">
          <color indexed="64"/>
        </bottom>
      </border>
    </dxf>
    <dxf>
      <font>
        <b/>
      </font>
    </dxf>
    <dxf>
      <numFmt numFmtId="164" formatCode="_-&quot;$&quot;* #,##0_-;\-&quot;$&quot;* #,##0_-;_-&quot;$&quot;* &quot;-&quot;??_-;_-@_-"/>
    </dxf>
    <dxf>
      <numFmt numFmtId="164" formatCode="_-&quot;$&quot;* #,##0_-;\-&quot;$&quot;* #,##0_-;_-&quot;$&quot;* &quot;-&quot;??_-;_-@_-"/>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i val="0"/>
        <color theme="1" tint="0.34998626667073579"/>
      </font>
      <border>
        <top style="thin">
          <color theme="1" tint="0.499984740745262"/>
        </top>
      </border>
    </dxf>
    <dxf>
      <font>
        <b/>
        <i val="0"/>
        <color theme="1" tint="0.24994659260841701"/>
      </font>
      <border>
        <top style="thin">
          <color theme="1" tint="0.34998626667073579"/>
        </top>
      </border>
    </dxf>
    <dxf>
      <font>
        <b val="0"/>
        <i val="0"/>
        <color theme="0"/>
      </font>
    </dxf>
    <dxf>
      <border diagonalUp="0" diagonalDown="0">
        <left/>
        <right/>
        <top/>
        <bottom/>
        <vertical/>
        <horizontal/>
      </border>
    </dxf>
    <dxf>
      <font>
        <b/>
        <i val="0"/>
        <color theme="1" tint="0.34998626667073579"/>
      </font>
      <border>
        <bottom style="thin">
          <color theme="1" tint="0.499984740745262"/>
        </bottom>
      </border>
    </dxf>
    <dxf>
      <font>
        <b/>
        <i val="0"/>
        <color theme="1" tint="0.24994659260841701"/>
      </font>
      <border>
        <bottom style="thin">
          <color theme="1" tint="0.34998626667073579"/>
        </bottom>
      </border>
    </dxf>
    <dxf>
      <font>
        <b/>
        <i val="0"/>
        <color theme="1"/>
      </font>
      <border>
        <top style="thin">
          <color theme="2" tint="-9.9948118533890809E-2"/>
        </top>
        <bottom style="thin">
          <color theme="1" tint="0.24994659260841701"/>
        </bottom>
      </border>
    </dxf>
    <dxf>
      <border>
        <bottom style="thin">
          <color auto="1"/>
        </bottom>
      </border>
    </dxf>
    <dxf>
      <font>
        <b/>
        <color theme="1"/>
      </font>
      <fill>
        <patternFill patternType="solid">
          <fgColor theme="0"/>
          <bgColor theme="0"/>
        </patternFill>
      </fill>
      <border>
        <top style="thin">
          <color theme="1" tint="0.499984740745262"/>
        </top>
        <bottom style="thick">
          <color theme="1" tint="0.24994659260841701"/>
        </bottom>
      </border>
    </dxf>
    <dxf>
      <font>
        <b/>
        <color theme="1"/>
      </font>
      <border>
        <top/>
        <bottom style="thin">
          <color theme="1" tint="0.24994659260841701"/>
        </bottom>
      </border>
    </dxf>
    <dxf>
      <font>
        <u val="none"/>
        <color theme="1" tint="0.14996795556505021"/>
      </font>
      <border diagonalUp="1">
        <left/>
        <right/>
        <top/>
        <bottom/>
        <diagonal style="thin">
          <color theme="2"/>
        </diagonal>
        <vertical style="double">
          <color theme="0"/>
        </vertical>
        <horizontal style="thin">
          <color theme="0" tint="-0.14996795556505021"/>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i val="0"/>
        <color theme="1" tint="0.34998626667073579"/>
      </font>
      <border>
        <top style="thin">
          <color theme="1" tint="0.499984740745262"/>
        </top>
      </border>
    </dxf>
    <dxf>
      <font>
        <b/>
        <i val="0"/>
        <color theme="1" tint="0.24994659260841701"/>
      </font>
      <border>
        <top style="thin">
          <color theme="1" tint="0.34998626667073579"/>
        </top>
      </border>
    </dxf>
    <dxf>
      <font>
        <b/>
        <i val="0"/>
        <color theme="1"/>
      </font>
    </dxf>
    <dxf>
      <border diagonalUp="0" diagonalDown="0">
        <left/>
        <right/>
        <top/>
        <bottom/>
        <vertical/>
        <horizontal/>
      </border>
    </dxf>
    <dxf>
      <font>
        <b/>
        <i val="0"/>
        <color theme="1" tint="0.34998626667073579"/>
      </font>
      <border>
        <bottom style="thin">
          <color theme="1" tint="0.499984740745262"/>
        </bottom>
      </border>
    </dxf>
    <dxf>
      <font>
        <b/>
        <i val="0"/>
        <color theme="1" tint="0.24994659260841701"/>
      </font>
      <border>
        <bottom style="thin">
          <color theme="1" tint="0.34998626667073579"/>
        </bottom>
      </border>
    </dxf>
    <dxf>
      <font>
        <b/>
        <i val="0"/>
        <color theme="1"/>
      </font>
      <border>
        <top style="thin">
          <color theme="2" tint="-9.9948118533890809E-2"/>
        </top>
        <bottom style="thin">
          <color theme="1" tint="0.24994659260841701"/>
        </bottom>
      </border>
    </dxf>
    <dxf>
      <border>
        <bottom style="thin">
          <color auto="1"/>
        </bottom>
      </border>
    </dxf>
    <dxf>
      <font>
        <b/>
        <color theme="1"/>
      </font>
      <fill>
        <patternFill patternType="solid">
          <fgColor theme="0"/>
          <bgColor theme="0"/>
        </patternFill>
      </fill>
      <border>
        <top style="thin">
          <color theme="1" tint="0.499984740745262"/>
        </top>
        <bottom style="thick">
          <color theme="1" tint="0.24994659260841701"/>
        </bottom>
      </border>
    </dxf>
    <dxf>
      <font>
        <b/>
        <color theme="1"/>
      </font>
      <border>
        <top/>
        <bottom style="thin">
          <color theme="1" tint="0.24994659260841701"/>
        </bottom>
      </border>
    </dxf>
    <dxf>
      <font>
        <u val="none"/>
        <color theme="1" tint="0.14996795556505021"/>
      </font>
      <border diagonalUp="1">
        <left/>
        <right/>
        <top/>
        <bottom/>
        <diagonal style="thin">
          <color theme="2"/>
        </diagonal>
        <vertical style="double">
          <color theme="0"/>
        </vertical>
        <horizontal style="thin">
          <color theme="0" tint="-0.14996795556505021"/>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HR Slicer" pivot="0" table="0" count="10" xr9:uid="{8AB423FE-9418-483A-94C7-A725D8181AC5}">
      <tableStyleElement type="wholeTable" dxfId="32"/>
      <tableStyleElement type="headerRow" dxfId="31"/>
    </tableStyle>
    <tableStyle name="XelPlus Neat" table="0" count="13" xr9:uid="{8972680E-830F-4779-9528-EB4A61858158}">
      <tableStyleElement type="wholeTable" dxfId="30"/>
      <tableStyleElement type="headerRow" dxfId="29"/>
      <tableStyleElement type="totalRow" dxfId="28"/>
      <tableStyleElement type="firstHeaderCell" dxfId="27"/>
      <tableStyleElement type="firstSubtotalRow" dxfId="26"/>
      <tableStyleElement type="secondSubtotalRow" dxfId="25"/>
      <tableStyleElement type="thirdSubtotalRow" dxfId="24"/>
      <tableStyleElement type="blankRow" dxfId="23"/>
      <tableStyleElement type="firstRowSubheading" dxfId="22"/>
      <tableStyleElement type="secondRowSubheading" dxfId="21"/>
      <tableStyleElement type="thirdRowSubheading" dxfId="20"/>
      <tableStyleElement type="pageFieldLabels" dxfId="19"/>
      <tableStyleElement type="pageFieldValues" dxfId="18"/>
    </tableStyle>
    <tableStyle name="XelPlus Neat Earner" table="0" count="13" xr9:uid="{D568ED86-F350-47C3-86C4-474AE0C223FB}">
      <tableStyleElement type="wholeTable" dxfId="17"/>
      <tableStyleElement type="headerRow" dxfId="16"/>
      <tableStyleElement type="totalRow" dxfId="15"/>
      <tableStyleElement type="firstHeaderCell" dxfId="14"/>
      <tableStyleElement type="firstSubtotalRow" dxfId="13"/>
      <tableStyleElement type="secondSubtotalRow" dxfId="12"/>
      <tableStyleElement type="thirdSubtotalRow" dxfId="11"/>
      <tableStyleElement type="blankRow" dxfId="10"/>
      <tableStyleElement type="firstRowSubheading" dxfId="9"/>
      <tableStyleElement type="secondRowSubheading" dxfId="8"/>
      <tableStyleElement type="thirdRowSubheading" dxfId="7"/>
      <tableStyleElement type="pageFieldLabels" dxfId="6"/>
      <tableStyleElement type="pageFieldValues" dxfId="5"/>
    </tableStyle>
  </tableStyles>
  <colors>
    <mruColors>
      <color rgb="FFF19100"/>
      <color rgb="FFFACA82"/>
      <color rgb="FF8DDAB4"/>
      <color rgb="FFEEFBF5"/>
      <color rgb="FF5C8E75"/>
      <color rgb="FF156082"/>
      <color rgb="FFF5F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79992065187536243"/>
              <bgColor theme="6"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R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Staff Metrics.xlsx]Calculations!PivotTable26</c:name>
    <c:fmtId val="4"/>
  </c:pivotSource>
  <c:chart>
    <c:autoTitleDeleted val="1"/>
    <c:pivotFmts>
      <c:pivotFmt>
        <c:idx val="0"/>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0113735783028"/>
          <c:y val="5.0925925925925923E-2"/>
          <c:w val="0.73404330708661425"/>
          <c:h val="0.89814814814814814"/>
        </c:manualLayout>
      </c:layout>
      <c:barChart>
        <c:barDir val="bar"/>
        <c:grouping val="clustered"/>
        <c:varyColors val="0"/>
        <c:ser>
          <c:idx val="0"/>
          <c:order val="0"/>
          <c:tx>
            <c:strRef>
              <c:f>Calculations!$J$5</c:f>
              <c:strCache>
                <c:ptCount val="1"/>
                <c:pt idx="0">
                  <c:v>Total</c:v>
                </c:pt>
              </c:strCache>
            </c:strRef>
          </c:tx>
          <c:spPr>
            <a:solidFill>
              <a:srgbClr val="F19100"/>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Calculations!$I$6:$I$12</c:f>
              <c:strCache>
                <c:ptCount val="6"/>
                <c:pt idx="0">
                  <c:v>💰Finance</c:v>
                </c:pt>
                <c:pt idx="1">
                  <c:v>🧑‍🦲HR</c:v>
                </c:pt>
                <c:pt idx="2">
                  <c:v>💻 IT</c:v>
                </c:pt>
                <c:pt idx="3">
                  <c:v>📈 Marketing</c:v>
                </c:pt>
                <c:pt idx="4">
                  <c:v>⚙️ Operations</c:v>
                </c:pt>
                <c:pt idx="5">
                  <c:v>💼 Sales</c:v>
                </c:pt>
              </c:strCache>
            </c:strRef>
          </c:cat>
          <c:val>
            <c:numRef>
              <c:f>Calculations!$J$6:$J$12</c:f>
              <c:numCache>
                <c:formatCode>General</c:formatCode>
                <c:ptCount val="6"/>
                <c:pt idx="0">
                  <c:v>48</c:v>
                </c:pt>
                <c:pt idx="1">
                  <c:v>62</c:v>
                </c:pt>
                <c:pt idx="2">
                  <c:v>56</c:v>
                </c:pt>
                <c:pt idx="3">
                  <c:v>51</c:v>
                </c:pt>
                <c:pt idx="4">
                  <c:v>50</c:v>
                </c:pt>
                <c:pt idx="5">
                  <c:v>54</c:v>
                </c:pt>
              </c:numCache>
            </c:numRef>
          </c:val>
          <c:extLst>
            <c:ext xmlns:c16="http://schemas.microsoft.com/office/drawing/2014/chart" uri="{C3380CC4-5D6E-409C-BE32-E72D297353CC}">
              <c16:uniqueId val="{00000000-7068-49E6-930F-60BACF4C4F43}"/>
            </c:ext>
          </c:extLst>
        </c:ser>
        <c:dLbls>
          <c:showLegendKey val="0"/>
          <c:showVal val="0"/>
          <c:showCatName val="0"/>
          <c:showSerName val="0"/>
          <c:showPercent val="0"/>
          <c:showBubbleSize val="0"/>
        </c:dLbls>
        <c:gapWidth val="60"/>
        <c:axId val="1513550143"/>
        <c:axId val="1513557343"/>
      </c:barChart>
      <c:catAx>
        <c:axId val="151355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13557343"/>
        <c:crosses val="autoZero"/>
        <c:auto val="1"/>
        <c:lblAlgn val="ctr"/>
        <c:lblOffset val="100"/>
        <c:noMultiLvlLbl val="0"/>
      </c:catAx>
      <c:valAx>
        <c:axId val="1513557343"/>
        <c:scaling>
          <c:orientation val="minMax"/>
        </c:scaling>
        <c:delete val="1"/>
        <c:axPos val="b"/>
        <c:numFmt formatCode="General" sourceLinked="1"/>
        <c:majorTickMark val="none"/>
        <c:minorTickMark val="none"/>
        <c:tickLblPos val="nextTo"/>
        <c:crossAx val="151355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Staff Metrics.xlsx]Calculations!PivotTable27</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6805555555555555"/>
          <c:y val="0.19212962962962962"/>
          <c:w val="0.41666666666666674"/>
          <c:h val="0.69444444444444453"/>
        </c:manualLayout>
      </c:layout>
      <c:doughnutChart>
        <c:varyColors val="1"/>
        <c:ser>
          <c:idx val="0"/>
          <c:order val="0"/>
          <c:tx>
            <c:strRef>
              <c:f>Calculations!$M$5</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7313-4FEF-865B-A9429DDC9E05}"/>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7313-4FEF-865B-A9429DDC9E05}"/>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7313-4FEF-865B-A9429DDC9E05}"/>
              </c:ext>
            </c:extLst>
          </c:dPt>
          <c:dLbls>
            <c:dLbl>
              <c:idx val="0"/>
              <c:layout>
                <c:manualLayout>
                  <c:x val="0.11666666666666667"/>
                  <c:y val="6.944444444444428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313-4FEF-865B-A9429DDC9E05}"/>
                </c:ext>
              </c:extLst>
            </c:dLbl>
            <c:dLbl>
              <c:idx val="1"/>
              <c:layout>
                <c:manualLayout>
                  <c:x val="-6.1111111111111137E-2"/>
                  <c:y val="-0.1574074074074074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313-4FEF-865B-A9429DDC9E05}"/>
                </c:ext>
              </c:extLst>
            </c:dLbl>
            <c:dLbl>
              <c:idx val="2"/>
              <c:layout>
                <c:manualLayout>
                  <c:x val="-1.388888888888894E-2"/>
                  <c:y val="-0.1666666666666666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313-4FEF-865B-A9429DDC9E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Calculations!$L$6:$L$9</c:f>
              <c:strCache>
                <c:ptCount val="3"/>
                <c:pt idx="0">
                  <c:v>Permanent</c:v>
                </c:pt>
                <c:pt idx="1">
                  <c:v>Fixed Term</c:v>
                </c:pt>
                <c:pt idx="2">
                  <c:v>Temporary</c:v>
                </c:pt>
              </c:strCache>
            </c:strRef>
          </c:cat>
          <c:val>
            <c:numRef>
              <c:f>Calculations!$M$6:$M$9</c:f>
              <c:numCache>
                <c:formatCode>General</c:formatCode>
                <c:ptCount val="3"/>
                <c:pt idx="0">
                  <c:v>236</c:v>
                </c:pt>
                <c:pt idx="1">
                  <c:v>72</c:v>
                </c:pt>
                <c:pt idx="2">
                  <c:v>13</c:v>
                </c:pt>
              </c:numCache>
            </c:numRef>
          </c:val>
          <c:extLst>
            <c:ext xmlns:c16="http://schemas.microsoft.com/office/drawing/2014/chart" uri="{C3380CC4-5D6E-409C-BE32-E72D297353CC}">
              <c16:uniqueId val="{00000006-7313-4FEF-865B-A9429DDC9E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501E630A-4FE0-487D-BF06-23FC34D190CE}">
          <cx:tx>
            <cx:txData>
              <cx:f>_xlchart.v5.6</cx:f>
              <cx:v>Headcount</cx:v>
            </cx:txData>
          </cx:tx>
          <cx:dataLabels/>
          <cx:dataId val="0"/>
          <cx:layoutPr>
            <cx:geography cultureLanguage="en-GB" cultureRegion="GB" attribution="Powered by Bing">
              <cx:geoCache provider="{E9337A44-BEBE-4D9F-B70C-5C5E7DAFC167}">
                <cx:binary>1Htrc9w2tu1fcfnzgUMQDwJTk6m6ZHfraVmRbCX2F5ZsyQRJ8AW+QP76u2jZiSUnyp2aU7dqXIm7
uvkAsPfG2muvDf/zk//HJ3t/6174ytb9Pz75n1+aYWj/8dNP/SdzX932r6r8k2v65vPw6lNT/dR8
/px/uv/pzt3OeZ39FAaU//TJ3Lrh3r/81z/xtuy+OW8+3Q55U/8y3rvl6r4f7dA/c+1PL724vavy
epf3g8s/DfTnl2/v/W3/8sV9PeTD8nZp739++eiWly9+evqiHwZ9YTGvYbzDs4y+4pIprigNvvyh
L1/Yps6+XiZav2KMhTqKQv3lj/o29sVthee/TOd/Xryr8+H+7sX1cDvcPzu7L3O7vbtz932PtX35
/Ku3PFoXbvrt5YtPzVgPmzEz2PXnl0+GzfsmebghabbFvbv+Yo2fHrvjX/988gPs8+SX7zz21Jh/
d+kHhyW3Nv/cuDq//Wa5/wWvRa9CwaXUVP+p1yjVrySNwohy+uC2b2M/eO2POf3HrnvmVU/8l/yf
/0r/nVib103+bFT/e3uOB69oyKlikj84Rz/ec0q/olxJJpT4/frDfn/w3rcZ/ce++8sXPfHcyfl/
pecu7qfbu//NXQcsFJJzwYIHvwALv8dKSuUrKQRTkVLfsPR7vz3M5z/22l+85onPLm7+K332621v
kFCHpv6GWP85WvLoFaeUiUhFD36LnvgtDF4JOFYF/CEJIgd+77c/5vQf++6ZVz3x36//HWj5fEJ+
sOKDBx/d+e+yFP1KBHAgZ9FDvmOPPQiWEmx4yvRXROWPPfiEJ/z1tP6cnjx5/NFK/j+RkL8mKL+z
u93tcLv/Qgu/4yjPX/1Gbp48+hy7fLDdyd3PL0NGJXbK73Rze8mjfXNxP79437jymy++e+j+th9+
fkki+koJGgIwOY20VJF4+WK+f7ikX0UyCLkMI6kEyA6SZN24wfz8kgt4G8kxCGREmZJR+PJF34xf
LgWvEAFMaMoCZE+GF35b42Vjl6ypfzfI1+8v6rG6bPJ66H9+idHbh7u2qQquhGQ8EoyJQGglZYDr
n26vgE+4mf4PnWQ3BUHWnEyKlHlS1pl4w9zcXqx2VrvvTPMnY8k/GUtpGsAWGmilkFu+H2vqA7J2
itYnEZvpxTot9KIYmb5ZYIHzrlv1/vnxtvc9WRsPeBhGQcRDzdSTtTnCwqhVAcaraJnFc9BWaVz4
lV4MnrOTekgl2zOv6NtZ5uHb5wcH4D4dXAQR6I+C9xTIzuPFdiTofdO7+mR1w3BX2aqXsaWTOl/o
6q98uuqbNAz+bsl/YmIBazEUPFusbWHzvYmHfijcrKLqxFXUX5bWDHdTXeVrrHPnL7Ng+bcHlBRB
iuEQvYAvsU3ou/gpAuLbsHf62JC0OYtUq3aLGfS+Uox8YOkk3z9vVvqDXSPApFQheCOMGyrA4PcD
Lj0N1iz10/HY+K6MR5n24Zt17YIpVjOvq2QZc3qhbM1PoqWkV90k6pu6baM5MbJc6ziL+uhqWMJw
jN0kxiluW9OfU6/9b0uo/iYKRPQn86UbFUYIBhqb/cl860qrrKiG8VhELONvSRWK9KzPbNAdsqZT
u6rL6HxKG7PYLO4HQd9iDy5XRFt3HAZGytO8V+ykWlpxm7HeydhIi1jq07A5q1ZFL3xuKnM6BaGt
9rWb6EUVBrBDV4qV7sawz4qYuDyM5yVc1aEVnl4QFxG3H6OgOWvJ4q/oIP1lmuvUxqubGvFRTaxd
dtKtftqrsguLM8eEv5RACbnL1VTq4yKYyK+FNTq96lzoEHJp0bE6jvqFZE0crobSe0Spz7OY5nnh
Xw9cT/wXXy/zeR0YmydSFHM8ac7D+AsQuKXCPvVT7y/JPPhLXXZOJT7t2vdjEbbvVxewEzmVQ5f4
aWrfq4pNl0HfN1WiuxXw5YNC7wvqxK1ygb9qnKVhXE1p+56ZwV+RjtC3YhjVLl9zcSu0COuTetH+
vWyGcEwkp00Pywp/NXKHlbYln+PK9hhQ13l6ExZl6XajmsWtHWFHtU6wm+P07ajhtFV1+mbuVnEr
ifRXedbrfcdmwQ5Lkw8q0Z6YNu6n1F89xKopMjYmhuXz+DovfX9ni4bkMRdYbLhMbX/Uz5NdE+KW
0pzqKM2rk7IjXTXEMtRq3A88NL+aadY3qgWe7oZyjPy+WjjiZKolv2161b43WYvN31X6XC9O37S2
KrKY1zkiw5ctSXjmmzMXLHA/axt/OY5LO+8mGcKk2N3te++Lqkqyply7wzQ6OEkbyk5GU+RtPLfb
Wmeubayyxh1/sT/3g0jYqPjelFG004qYPulqHVx8uWdI0zqplqAAbqzmmGCtv5homHZzpvVh7HoE
sNm2hxzKuT3u+yJNz2g/BW0y9fO4Kzuv9BULIupYPCgWjPFgVVBcDJ3sWxGrqgz9dSvrwGVx2vh0
OtgiWOKUETxQ25wGJzMdosnHWUVqc9r3Q06OlmAs5l2XkSW9atta2Ng0QrRxbcYhPQ9XvbyXOpzv
poV0UzIX/ZpfzgsJ5197mN8c9XU9HfWhqed4DcomJmoiSROUeUzEJGDn/m3LUrP3+WLitNbLQTOb
dKbzJzPr+KFVBbsQqhmTaZqPU734syFr/FtZjU1i2jSH28lywUUpkz4y9Lc+CLtdaxYZD4unb4g0
w9Vsuj6Lh3QSHwZeao746meWZDr3Z1NEpmOumqyKxyBsbBw064VyY3bX9YBNWeXRaZ0bedEGtU7j
ceXLOa3nCg73pG/itcjyo7pdhzudm27e9WTM8h2CW5/ydPD1TvOp1zGNovSG1f1Q7yjh7waTkSR3
3W1No+KisIHgx93MANk0Ygg6F0wIqaUU/Z2h+BIDl/0V0hxiOUxrkx9LkiJLry4/WvqhfS/ooG+q
xYxFHGWqErGYJn+1epPeeANu0XLavl/60tt4Kudb36jsphASgNmE5duCBMWvhVuxsfQi2Eka9PlR
HjF2olodmFjrtN4hjTZvpaj2a17Uux7LyA6UVUqcCrsG+te1b+mHyhGynqyGj+qEVW5lc0Lb3h+Y
o648lSFjH9dsEnLv6vLU6jY9n0mbXbq+MCeZ0m8jY7obO7jbpfIb+uf0pq/0uCtG2MnrAjgvWpqf
6qYNP4wkHefEmjl43eo5ug6lKqNdPs0ngo1k2rG5own2ZXTG08apg67D+o0fQz8eVh7eVEa1u8b3
fI2nysw7voRdFBPLxRRXLK0v6ojwj5Yy3N8iY7l3wugw/ajVnLu469q0OayqyW0cZuXIk7IvyXll
8xGmq9I2XgeR/bZEqjnOea3eRIYFuwJLOopo68pkCdP+feMVuEg7CHXO5pwkJZ3g1k5rt89tzwEW
3Gbuwql+OVlYoS6IX/SNq5qi2hEr+7vAFvpcpALwVsoVQdONiJQ+C9Qu82QLpTGrzS4zDb2A5Ass
7WQITC803jOFmI0cjD7vZ7gmsVYDB6uxwJwitcxx3nL8YMoaIehZps+lbfNql4Ul8N5N7ngxE3Bw
ElnfH2kh1bluLUkK1WDkAsmkSlik/GXLMLwUc2ePogV5HJw/P2Lpym/XpQDgf4HAyIyp20ck20J/
Dqy5HOZa1fHYzvx8HsfgKLJinWI3kP6uZiUyB2UOERGunbiNLPJjnwvgdCVy63ZL11izs4OIwBgW
1DVHD9OitXD2qDMFmERKCNJX5ID2nXXueFpGfzlM4L6VmvWerrZeTsM5lHUfj0vF/Wsqs5AlgdPN
+znsWvMmFBNmnVct1jpPK4asXb5EV7xrbY9sIQfeVLE1WVfaeFbBFEVJ5rk8Hcu+6JK8E8t1Shrx
XhoKYF0cKc7n1vk8Lu1Y9EgZNHs7R2uzADetPOcrUz1wMaLXtiHBaTsa8nlwnT4y46x9jDmD5eQk
0jehnxEWyjpk8k4P9C1zHdJT5nxdHlzEyxUzyTeLdg08bsWCtD62SiBhOkDVdbp5tCgY3DRWiDjb
w42EdqgahnANXLATfUvyvVUiDW4oWbjgsBOo5bVkORmvJ+mtbJN8NplRV7ZUWiJVtXplLVJjt+SH
pcxJRt8VCmw5O/LzIOKIgm7YoBH7POBpmaS2ynfDbNN4lkt4VBENDhKFJjgtuTMXrBqmJCdm2eP/
bue50Ke2WNvXcH931SggSzkZ8psnOj8lQ5bGU2+QehZVHWehpPHiI3Kw4yywjk7u6iA1cRDpM770
adJV7JdMAdKZy8YDDTK6cyutYud9d9JMQxZng6VXNQfExKAhLi4ml8e0BCMZZFV+JjkXBzU16bFe
myqPh25qdtiBcwJU+Fy77jOxyxvt+XyCuAYxGLvgjR7a4I2olmk3BVUi+6U69qPo9uDG6bWX43Io
kER3RWfmvef8DQ8G/tqHY/0LvI28XHt7isxXHfGqJHFE2JCoSu4zbV+PJe9jBlO9CZY2e9cSOb53
TcgumqkqmoRlAQik746stvVOTpesoldgfvU+JHPwWchUnDI28TyPq1AXQR3X0cxTdUyK9V50Eg7h
I7bwAZrpbHbVGNgGRJtMbUKQgft4GacNQUwAhEC+AhoORXM2diE5kWzp2td9aRGklQHa5NIhItcp
he9Tb01/uZRzkScTaPfu+TJqqzoelcYKQkQEqTcKKSSIp2X/OoWFRsZrj1vxhfRPPghjtxHf58f5
ofpRCm03Bi0DZT9H4fa4WtOpGcaiGdpjW0uA8RhF9G3XO2Jj7mlzJvlWunyBw+fH/aH0x7jQ0YSU
qEw5KsXH46Ikt6xofHvsCytvB1K546r31h/myAC/mqperqQ0wOJu2lju86NDt3lqXaVDVMXY4JgE
fbLqpS+gnlDZHM8iRQGyKhe+VRvqFlEPtB+yFn8HrUNZsjHvkCuA+5cpfNXILh98+SD0fGraxeWZ
+dp5/f3rv942Ff770vj748etcfvHt9ffOr7P3nV032xtmf7pTdtsfn8XJvN1dptK9ujLD5LdN8Fq
u/P/9eIjxe6RPvlIfNsK7L/W657InN8pfdtzXyU7KV9psD0JNZ2h/8gD+O9BskO/8RXEPB0oCHAQ
7DYJ66tiB52PCR5BoA0VDSGzfZXrqHqlWSjQo6ToVWo0LP8duY5BBf4utLYRKXQESSFdSUha4RNZ
ydLC1XQuxb2i6TDqfdjyltgkaKd8vRFibMtbTpzoD3W39AvfDaEXxiekSYOPWe14jXok9GV0qo1Y
kJw0qbvjWaPGfW1FBTEgbkov2o+iHArf7IiUtkDtEEWc3ke+WcYra3xkb5USbfqJVayTF5nMu5bF
Fc17TIW3wlVvDA1AZ3aZFa5s42YWVXVOo6XDlLOqostZWLG6+Ez6qcEz37n0a+h/r2k+Bp1NiNIh
B/3Cvof7sA8fb/6IVvlopFH36dzURXc8VNzyY4vKxEXHa58N+ZyseYuetg3SPEwPzw9PN5HtD3DF
+FHEIhZyFCjwFCbzePy1AGWRgczvCloygMvQMMG2siIkXXFwfs7csHNmyLiJCSdrW1/OnC19mFC+
ypmdDtLUfRk3TYdC4kIL1eHa85PcIOi7OUYBjjygAauZpBwt9qdCoTc5CY1j5E4SB+lol61RFnUH
q/jAgrh2g5QfShGkw8nz4z7xzTYu1zwKQxFAoGBPx23HpYkawtRdtiDmIFIE4I2/GZ6GNRTaIh/z
NzWSxjDExjRhKB9g8eH0w5+ExmNk5hg+wjkQrkLNhYIy/ASZMzHlJPCG3ZHIRh1LxBxIcYuNRIaT
Zs0je5ET2tDXrOyW8brsg2A1Mdp5FkZ53hCPhXfMRIRoxwmhpJCwBnsSJIPMg2Ip6/RTqldQ9KOm
gzoNUpdWvV6OFqQLeOX5IX9cPJR3yaVQUCLRR3qihxukPlssgbvjcsYuPyxUrhTUxc1jz/e5Srn8
4EZYvYt7GUXyQxMsk9P7KW+Cdv6bQKBPkAwG0AHHLsFGZYDTp+p8ptdC6HYgH03uoooce6gE2BCV
bwzOwIxzwVee5FW/hG3sdcgwK5EHZryuWlksSU2oq691ZSpX7zrRuPCqmvK6//i8zR4TCR5t5IWj
iyBoBAzHcYbHe3mcUyiJ3eo/ejc4BEEwlgGMFfiZCRJ7xyZy3YZlt22aYW62j7zNxn/XWOi7RxDZ
A6kVZxzQ9ngaqgv7Yell87G2ggDDC6DXCu10CYZFnLFUAPf7DMrcbVWIGojq2spRcaxIQaYy7gzQ
dkP+xeCpOl/tdMYh/UE4fd5c9GmM4VgOA6lEywNtF9CvJ/nJs7ludb2yj9CnJan2xdC3drzs1iFv
62Tulg6TI1E14VqzdFWz7FS5LuR6btv0pNfOFllSrWuwnFWmQ4smhmYo0yEZRUDslax0tlZJyLQH
JIakWGh9Gqza4q1lns5d9zfblKLd9wgoURKBxYHHobsuoQg/QQxEZt1N9dR+iEQjCpG0aMohFNN0
hGqR0BXVBqS85QE97chxbfwCJy1NFS6hxmOyO4wz+/sNzZ+ieAi2obGR0GFAk/CHsCh92VepadoP
rcMu6vasLxV/HVLDljPWjwvMoVMIyBB//LJE8Wjc3JkEgD/Lq6xbU3LsKl6sN46MvbxQudwIgudT
ZfVROYrNPU3PNEJomSIxXbWuKNeb1cpyLuPA2i1p5bA+HNTU2uBHBq663qjKe/iOiWLBR78G2aB2
rehZf5DRuPmu9FkOgtF9GR49EgL9RTW+wCsakAfMPCf1xg2GVlTlre9l3bUHPTk6XXPWrMO5c2Xq
YmsrF1YJydLKH2ccyfU9VJSU30zBRBFkkcrAM6aubkBRng/2pxAO66O1GKErzyMpIKk83pQsXeqM
QgH6gAq5h87swyBq+3huisaesLGbARTPj/gUjcIIWBRS5G0KmvHDiL0LejNXbH7P1nELxnnkG/yF
fVQiecupE/JDWrAVQTiH49BnryMAC+L0+WlsdPbRpmCRRNMaiUuEaGmBJT9e+cqmsSNaVjcVOm4D
FPhmFOS+gZANNDJlX9O9S6Mmv5x6lQFxWiOabJ+pIZyaGG3L2U6QVLLuzKZKXnvmrFriHiXTdDUo
EuRJJ1YURggiyLEFZBGUyDyVdNvsJkAcNpMBuzhJi3LYdv6EA01vQuT7dolZ6Zifjp5f8VNcUwwJ
CnQDq97OYKAmeLziUqYQ9bs+ejeNdQASK5wLQWKndYtbDpLFjw2dPcLWl5rhIxu+MFsi2y2kGfoK
YXqdermFdNjlKyrSvA3ZBpHd2gf00Fn0e/KjVSwldl06VxunppBtsDsj2mEbPb+k8AmyKTAghbQJ
VIMHcTb2CVSjV1etTVGH79RgGPbW0GbbBAbC0Oz4uo/DIFgwt9RAXB0SYOUGKa7tkGgI+nvLGfVi
+6npIAffQk+N+HE+280O3TI38iLtPO7K0YLAa5askv2hJJFjkPTcxPpkQb7Acv9maU9YJpaG0xE8
pNgq6CX80HwffEkjOzbLO5ZB/y9jCIYILUiFefNpCFQZ1vEyNN16E4X1lh8r0lA4xMvKZst+rSQd
MrRmyDi/A0t1MMccFQzRx6YVaFLnRCPE+GzbDd1GwOZxHrYzYG0AI8GA+YCmQpigxqIwRZVxmGIY
IkOGREDnxJaAtl7g24N9Nigsb583wpM9qkAXwK6iUEAbReP5KdWl88rlIjvydqqiBujwQG9Do/xU
JqgsTVb/HSw8SUfbkBwHScIAaSmQYE2PN0lQNKCQrY/e9iP6H7fDMgwIKOR+2IcXLYfGmc4EPYhY
WrbA4HZKa1AWgB6sNDtvh8tI9iotDunAFcAAG3K6cjihiAxQoYd2hR4TEtVXt2XdXMOU3qoaewW7
aHNHVvrNEaTIKT70UujpKmiqBjMRZYncVMphq1OftzbX7DEmYvFbEgBIUJxI/rGiAh3sSRb45a1B
Ow4K3jCWrE3SOUiLCxmu3C37zjjZqliHkBJN7CBPd6eBHZkXcQu2Q84cmpH8dVqZiCXd3PjsU5Db
4HhORy53ZVQ39o4XdnVXVSMrnNtfqZ3f8IkGft2potaiTTrwx348zLNQ04XrTOqbWFZBRc9Z4Kje
1bXTNCn8MLo0Rj+mW4vY1JPjHup4OWEzTKubFxt7IgpeHHRIR34t7bDwLAk8HefxCO0nQ1PwtzQb
TgYTgZklESSvdUVZi1BsT3y5pGPc9W0hD5OOMrYTFfErDto0YX4zosuT7hgfQposqE+bJZbZ0Oud
zsO5TDJhs+MoZMOua4J5PUt1HQRHdKYmPGSkVybYt2VT8XeLmLKSvNNN4P1bP3g2vCYQ8skVMkY0
3qFLJN27NZqyuonbpqGm/0X71ZZHaQ5147A2XFVNrMuGhSaJ3Np36iOtClXfmbBtJr9DqCzdvR6H
eQ6S0s49LY6HtO6E2qEOEFYepRUp5YWmESnLo0miW27NvVE1G2Blj6M6jr9eWTMhpFfq+tb8wmQw
yGBf1xyHUk5GnebGntfCl122L6ZsmKdzyIZZnh9SXs2juErrkHUnsuAmUwfEimRl3E7oQbrE9iqf
dZwRLrthB2VzLZaTOeuJyY/mvEK2SUo9cwDs1Oaj+K0hoxT9CYJjJmkyM9AWejG2YF0aDWSmvHxj
wyjCx/DwI8lzi2uBRlXvkrXpefdxHTsdTqeFdG0WHlNPCHo8SyFw9ODI1wWtbCz4tOXFQJAcy8mY
QFK59ekiA50UaCuK7M0yt3MbXRYpKWZ7iEpGwvakHBetpjeyYCLXMfqCmyYRuUGY8ibK0pSsZ5zb
HpYi6HfR6jVQuzPijLDURfac5l1O7WVRzIVK93MBIMj2TU4Z5g7I2qa0TMQG4T7IzJJ3u6AtC6d2
9RAQUf8WZmGN8arCav1uzFTXJQ51MCwbqjFHBkmoNNtLMH9QFvRE9cbpuemx+qQ1tGbyUJh5sxiz
OLig46Y3A7muq2iDfI7+iYoSPQ8NAmCtwTeOBu0q3Nc+LNUMYoX5uiLCH+SSPsVo1lAUmTXNN/fQ
lptQ/Eqt3+xcc11ASyIjcXAFqUtl+H3XoaDpDi7PwbSSWdElQuNNGTESeJCP3XgzFPWY17AXMWuD
TtrKqX+timibcg5Pt+u1RGRhBIZL3ceU+C3ApCOb58WCpthHq6vNNNNEcStSrOpmzGGqewybfF2P
c4x1HyG4GfwmfNvI61LwVLOEzxoCUNziEANs8TV60rXXeGVUkG1x6bB8McaIqHHJV46rxSq2b6wX
5WsW5I5cfzU1ebj9m5Ef7oNSEJavo7CtMAFaEzN9LHPZ5u4or9mCRXfhin8uFaPLmeXBNQrwrNGx
eHBUs04DQg2V9+iyk5rqJRVodZlpkW80TmTASlNYWdwSttDYXAKZI510XAbLRnqzSoT40UZZ0H3U
DxZsWuwg4NrDmkyYo0ZL2qaWMz1eRrVV58GDax/CQ6alhX0kz/HEXqAjjDd6uRjEaUbdNozhRuLH
pemCyLxb0YAbh1OslG3mfQikdVxGzBKL3N5Cc9fjOZxFZoiufjDb1B8MStZ5xZfGsoZHexKIuixO
1lBEvj3KNkUr2M/52GBPo3O+KR84WNJ9zKco7D6iVVwjfHoBxorFO5xykm96aNnbC8Np++ATDj3A
InWwbYdqFdv861FmZn432sxm+aHOcGTm2nSMZuy47JeIDmfsIVbyotdDdPTV5BqNR0zH56zES5AB
GgxetHmJPD/RbpXBOzC3Qk27tiNDnSdBn6UYXBQG/5JpN9gW2qaFYADJBm4y40nUZNt2HpFf8Vu5
jLJQhxJk0S+nTPfWN8dobgc4AGA1t9UUp30G2ZBqOuJ+M3Q9PkAahb2ouhF/L9UMEU0EM4VU1EHL
txc4u5ZCFJhdgdGpyZrpRtapRxWQLusW+7MGlBcHz7oQCKOcsaPa2wopttp7Uqe6PxEaqcq/D6Qv
gDeZbZqyPP4qJxeDNa44jMai3v208J4zdtwWBuY4Yl/2TNcoC4P16Vym6w0zqpmHdzikZmZ5PDws
3esMB1d3rPVriRWV2dyLvVwDCpQbHN/MR327RQ30qi3EH/RT1Zc40xPTMdzWO+R5iA+HAMf9XQ4p
lMS5XaErax6WtY4hWSyyes1a6nCHXOhWw+LkT4+4ehBZVirQ3z2MdefS8CRLcbKOxOuD9JaiLIdq
2AkccVqOUlqi9K0q1E51MlgIE+KsKuW2nwY+5xDhs1INgEom0wU5r1+ANMUBtd5mvDFnm1QQjqqE
Fl9YHMAUZ26xWOX7GfQsJadz2juXX2hWbCJlMyLdvY7KlMnhFw4Za0n3Pi3IYg5yboXtd5AuqORo
7qPA/cAzRlGSIxlqOH8lfMWqZF1taaMS6RZuOEFJEXwPliyGBko0y4OcTafzKqo0+qVcx5lcO5Bp
qApr22n5AXiL+CJzi3NpRwUPtjWkbU0A/igvN5XK5uCrYNa6aub2g9SL6ehHjkMK9kLKrl3SA0dv
fiCf55wWPt0jozEr4t5C/yaJsjRyN1Ak5//Lzpc1yYlr6/4ibggxCL0CmVlZ82BXV9WLwlV2AxIg
IRAIfv396PI5Z9t7R3ec+3z7oTuinc5kkJbW+iY1fSHVIKuqEMka1f5xYehthu98buaBvo4iAzRx
ssrNHS8Cuo3qeYsdjXXucDp4DPthqNFTMpZwFzqs8k5yWsz4nwGbc7aAmfLlzzv5fJeDkQCIC/Dq
635bf5Wbtp33+sfXaq8m6P73zduM3f6J/i/0Xki6/z+w0QE+sVbr/kERAZ3oDpjcd26jaYXBVq7Q
LYrbbVpDc5DYqPuu5N3+Jz+XLHpKVCIOxS/+6BMP38tpUBXWrzZieUgtye5dzaoFnD/pgZ7H6yY4
PS9Dv+/yKoDuClg6eCL8B+I/VIthI1jfMQH/cAvccr9y1YBpfPv5Q4nlONIGLJXg6XNi6xu5MZXL
3rj4QX0WLGhl9m+GmH4Ho4N22EFIaINtHJdd1Q1a5PWQuuDJQSGEe4acRGIpNbTa27g69vgNNrf7
Zbm/NlygFc6RXCRu3+SG7jRj2S9+X5NMbKDI86SGKLM71LLFbjx+PhDgwHvRU3D64XtjqOTkVU2j
lmX/AHz9NtADy9kNEgTEKmdp+G+wcj2BQwBeTZ9qrVNcNasg93qyi0aZHYJ430EtRMl4CnMz7Nf+
D9Pdr7Pd/vPpTpwQnoDNx8b9dbC1zutgGRmgqs/SKIEB788f7E57+/c/9RuAjt1EIFzAbwGywr/T
faz/F0H9ArV1JtBK/tcaIcprXUB9B90L4+CsUJHTen+prpF4wzq2MV7Zz+L499fyK4SQEIL1k4Vw
+6Wgw7HO6a/XIuaIAr6V1RMHq5a+NUm49+PjmLHosGm0zv/0nP/9B2HBBnAA4QQFuMh/wxVVbUnY
dgSKct/joKgUTvxdxo8y93Nn//0Nhjts9z806H6HwG5JwmDQoSHoqN9+0LcyrvqpTR9/Voyl3nbQ
foU2J0mOPh6z+SiN2OyDW6JVQuDT7/U8sigNwbjFOI/+4Yp+Xem4IoxSMMmAGuUJfJi/02IrJ8HC
1mh4bD831YK+DnvcOyVQ1yG9b/AKIDhdsTN5hMMBrUVQ7xciTTS4rZgHTPbHpIt0QnKP0rIWKPUD
Po79IcJbiAMxTxbLJ59lPsvs39/E768RLw5aH5KAMQnh8/kdesK5O0zUB/NtDY0oHuf2VyNkxqR3
D2uQuRhm3P/WcPwHVvc//V5C8CL3fyD5+Q2cZR7dCM2Iu/157PmqHmRONCqrzu3YVP8raA22njCD
ewn3B2E5DJW/l4NoEUCi50befh5LaJL3t8FUi33Rj8N+YPz9De715V+WKRYE6KcYOxB6lBiI5m9Q
7bJuvrFboi5YH1iVFKzrWPSWWmyYf9qC//5TeHUZGLwsxqQPA9Ove74TtFtdlVYXn63InAAdwTqi
UAb+EwX+G7eGb4dCg4OMx1PEHPBvOqmeTLWQ3vAPIgFT/9xWNFV7q2ijbh8nlwz+pYJ0saUsZ7YF
05FDfx2OxRT1nn2VC0ER/Pun/VMi8i8PHBgmHgFcdvQvwUD2O41JCPgi1tTjyW4w4YwHmvhdJeFg
N3P6z3HrQbQXeqyA+fK8E/C6QIGfVFPYXaGLgDSoKrQyQKSuaQxMhNx3IqkqfbGiZ0n0rfCNCv1a
CAoq7HUcBigdD1bSuIfosXUbnQqiSTp2ZWYTQIDXEdRyUXrPP3lGlWJIiu5E34WDv1FVPUMzjuYr
bUJgNRISkgsMQAzCwzaQBkvkZ+ME8f++HdVnu4PJIcMhlv5VXj9HIPXX01zqjuJIwci6tyfLTAM0
2ppmmF966vC40fqljt1GY7s3mcFnz2VA2uK9EZOFG9S849SFW97DGtY3ZWpYK13+X1DMgOMcotPP
Buuvzg6M34LnC3vg3lywYQbihZlHpfRgYIcInjqFaWe+JGBRmqpofTdizgPP0Mr2a4R2nEe36Trx
2JxlSoIdpBhnC/x3/ZwP+bKO0VDWynWAg4EMMbAfuawnSLeLwOlqIV0+RFA10Xs+cEh6D9WQxsnw
JVn5vOkv4EF2pg29KdSUt3oaQW58aQxQ8KrEOofM4VjbIQxl0YVohv9cMRKP2WWS+oW+QeG7Ttkt
4DxhHnrOpaIH2Y8BwYSOguanAqZQcPyHXq94t+Xi6WbXfPfW6blAyxgmWbHGq1iuFR+ncctBky8N
pnyeWfC1TU3GU0zaaXlPSafWuhQxBoE+71jf2ZceiFDg8uyTCvxZIwfw9FV6ncHxgUGor9sUsumf
/R8A+b1/XXs4a+qf03H7V5fas1ZhlLQcSh2Tz5akXYgKW2mGy6BKwWWmgpl/weGisyfT86A9dk1S
JXldVctTsjaJLNdmEacmnqOLhkTbubO7m89W+pHZlBaeJ/Uta6aWAMue7ReBRX0RVwlU/Nh99bu0
pn2pSKNLz0OoarM2mk4YwgF10T65ygx50wrbsYcv6TpdGlOyuK7xdklgj5L5+CB14+422U7kgGlh
OmQriVqs2LT7qI17omFsrmwcVFfdPE6HZAQ0DoFMdTFrx8uaL9kDM/UAvYFpvjfjIMq2NtDwx31f
JoIPl9lGu+MqerDTvUlifHW29kUse3Zc8JXnDHPiO+Sg7gQ9hvg+cNWelA/bLV+5TI61JPrJwDUM
jTqgozEPIl19XfyWfWuDPgHE4LovS0abA6ETuYwJr5tcB0F0HQM+PNpp7H+MkokHgJoNdFRTxL+H
oKAwZ4UmfIT0t26OZu2DQzh20+M4xwBCUArKcfXuMhrhNcuTbskKwaDfzV6amfL1DGWE+xhpLMOD
dmbC+NV09ZrPiPj4kcF1AIOGCOxlxyGTKONwkg9+jhTmt05fJeMUDoXIav2NyNFcexaTqzEN9xUq
kp3brebl0qPNviFMzWeg8sFlo6Kalhmq3/dwWWAs3GB2rDHOm+B1McPyYwgCX9Am3L7BHqYplA4G
ssZtG7Fy69a0OZRc1pVmW5S/TF01QHMbmuZ2DRkKMUa9Yl6iNrpEaEJrLq0f7JEaR6+StvM5EOjn
ZFk/iBPiNg6xfebRTSUgT9Lkle9mViarjg4xm/pbU8f2dTUevSIB7V7BPaGgzVAFayqYHAIHSwEY
c51HtO1PGgBGTkk3PfiwVw9jvU6qUNNUfR2g6H+x3nQ0H7zzhQitkbnE9YEJzoAFYuP5eitiny33
nI51W/TbLL/Jzmw5yKfuGSkvQ27MHD5wkBtnQ+GfdJaIy7jp429jlvprCR4CplcAwfhRMeXCBQMm
ZVddp1mgG5iUFf9mAzRbZYa+UeaJHIf7dEnVEYU+TQvebOxigmP1HvohaE6W2n6lujenGZbIkzRz
+s1G4uuC+f3rNsCiehpMvOZy6KofKx7IqZ6Ycwe0p+vTZHkichsPYJJVNeWknudzypU5DeiPw92s
y7/yfuLvkTfRF2mFfp+3efvhsMDLmWl6E0PwcCI4KcrBD9MT+t4gT5Z+vg7sqN42ovtT1IYCijHA
3Lf1SmKcZR4VicgmA04FL90FA2FUmLGXJ5U4+xWaswjXP9PLkPTRUabR+Aq8cLjnfW0vwrXlTx3c
XlcVLC0Hz1ByMZ53zW0PY8KldfFy34/CfrFZFn9EakZxoMM638Zrh80DrO0ujCZ35S1bzs3iIw08
KetPIu3iEmM7lJ+AY/h5C+BtEKK2DxvN6q8ZIJ3XYcumLzjwqwtsNnazhcEEbVXaHFsukmsw72FU
TB1vy2xb+wjr3fbHrQr0vQI1cA+xuYGT1bTkaBc5vJrJxbBHJtt2bXnsriCgUkAtOv2lijbeoWZ3
/hAxlV2E4CKL2WzxXTZXERgDG3wPBIU27npN4q3hBRxs6MFL5gC1Z9cqiWY2HQiiE9op/x/nG9Cf
9jaI1/7/xfUGCZL72tB5Hk41baP4F7Mb6Xp++bvHLeNbx3K5Tfynx00H0CFcwb3J8KxTskz2euAz
CKjQ23A59/HQ3UU+Dh5YzxtTpN7W+lBzYx9hfJy7A6jotb7qGqWbMrB9AqWmEGFwYvM4bo9r1ltX
n/bWg5R88LrVCk9NL5W6VMAKbFuEDJ1LkXROzDf/2fEEGaEIyyVEi3g1ASCYnpMGU6lFHbFwzqVo
nKoecqeLeUrZZUI96eWXLVoFneHtGQh3lxTFjpyzGEzFaWjX3pb1PCbuicOpIqEMqlpucxuIqlVF
EHP/1ERQ8+QU7rsHvYbBdlowAMuCsIGS64VL3xfUgl+4YS3KaQnh3lZqIG6XEpa6AjFd6nKCj3yU
d+0apPA7wWLYE9+VwI86tavHDE26u2mKZTaVayrTlgL4h7/qoDPQroULV9od4tC19TWcbjLNux7w
c7FNfujzqFtBSDEn1UUPf5E+VEuy3KgG8G0pfeMv4KwP4RXOSM0A1UkbnlVlDWhSl7A1pwtY+XSi
022QcM+KTgqYgmAIiwARAkt8Dk1gv88crUlkDTxXWoswOlRzTR0t0MLVgS6gGYBEDk6sOn1cg1gz
NGYuW5u2QCWd8AFNgsY3HyhCQ5YeatOaPKkG5AocVMdCVh8M9TAT34TBnDo4wPpOXMghi79V8/y2
bXX1tarNW8VNInOMCd3TAs3JQWTCnggOD4IikVrQcmy7alfa3tqocce5trwwg9lMziAfhZGoS7on
27dpaW265i5rYtTXeeo+YAXbjky3oBcrL27AfGakCP24DOWGwya+52MdPTEImyxMpcCgsB6wYHLo
9JbvoTbqwQz9mB1GxqrrUff6yQ3jVB2cr2ZxBppdwU3aeX6GW3MoaT+0RzWI5KlXJDzwqdZXSiTB
DVU+vqIGZKquRpDqHGNRSamYv/WOudPmKYUrmeEQLgmfh/FgYKS5ha5xmc7GLiLn40I80g0qWcTp
OJuch52AthVCTXceU9zcYQX4/rQJ23wX4OOHkwTvV1psStiyV2Vvccrj8G9S1ZaNRH+BSxCPOHWa
o0OES+F6Uz/LpgrfgAj6I8RE/KQJ747MMHkfSGKLuUvrF6QsfIWrHEAvBrcjo0K+6oVOOk8irV8j
Iuylo5HwubBeZkUD0PZSGIqbrgiQ98bPBYbw6E5iLLmcl7D5UHXE3pSowhcVRsv1DEa5TMygzxGg
7GeQAlSVqGne5JEkw00qRIS+FZbgfRHGH7Hah/S17/ZT29PxXSOvAX7FtAFBC5Bbp+c+6RtdjLbx
EziwTQPEZIsMi6hFHcnh0ZLJTWtG+l7X9aRy2uIactmyOkM2TDcUgOWwJmqkUZy71FFWYoSfW4te
S1WXndHTHwZTW10oE0XkDQfvYnMeZMt8EUwqLScjgwuYQOnXXc9wDLdZubxZA3OXJF6+uzkzOB4w
eR61E1BpaZFE16AU7ZVZIXbJbYWW5tqPzrwrOvmmGAF/znkzt/5jmlbsFWxKzGnOAF39jlwE/CGY
wvnQyzm6BHgOP+TS+A3NPOSsP2JIW8WxY/UE+yPmtzxAOzKVrRiC5BAMiEkoyDYnz9PYtq/MzB6u
52gsWxIM5NYtMKWC9cs41Ero4fJ0Wur2tKCpukT16+FVHOpaopXjaD2hLgn0bQR3elA4sSsE144k
5mDNDOcDlDJYRMVuh5Oxmo/VnILi6VSBwIkJhrV9jJ0LsQ4NRU8d9WJ76UfXqzuqw2UsMVUIhZLG
U72ZwoauatdTQKjs47vURSLLVTg00bcWctagL+Yg81IcQeQpT25UrVPNC0zbPjaw/Nfd6AoGm3my
ljV4tazNHVTm8Vr28yo6dbVmApBOMToMYOa+nYFaRbmH/Jy7o3VmaF6qSsW6KhdsFdA7cAlFvc1n
P+h0Olbo1XpER7ig+3McRj8niIhQTdcfkgEc4JMgFJzQyUDAhfgAu8Zw699LZxTeQxxAxgXTv3Pg
JuDRtrj9H3DIMoLnOMp+LbmpffKS2ITWT58gcmB2ImRq+Q7Z0lB4c4UItV1SAB3DzqJgH27sexUL
4tMT9N4b9tsQjrx5hRW7Duq8zwDABZhshVxSHBEox9OzqwEoZNcTGkp/i9gRssaFq0Y3qNMG1g1v
C0ee1PI9ylw/d2XSTm7tryKH29tyRH9SOiIAZYw68RRNiWnSQwoBbRNdEueGVUMf1UzocTA7VMPR
IBkC9TiYdKmgjrqhEJmhdTccFXPlDVj8LD41E+vW1QAdnoHwNgWkXq5d4kPV+7hpD2aBEogDO+h1
dr2h9csOAqZ6AXZuFty4PIwHHh/YukXxaU90eTaZa78GUP1MOdUwxeWxw945QAXTfSe9QpIAVPm1
VQedjrwuZwv9jM83OoAU3WDb/Uv9f8mbar5H/NR8AXy6udZERIWiqbuR4bp2BxN1EJHNHAS1Cdon
yf3CzgNiClge9WaNc98vqj/ZiUBd6TOz9DANzeq72YhQKK0x7NkpzlFXTtG2Po5NsHg0CEF7QAeK
CVFIkyQnm8ZTV4ou8+/BJvwKM32FvITHTDUqKRGA239YAmI9H+WM0aDfghnTiJVhfUA7YccLVydq
/l4Ffkdc0FHTvthUXR3hH5tFcOxcmEE0RAfeF4LEWh/ilYwX4ajZazu3MQBLJmilCwCKTYIJla3j
bZelxJWUJG56gSQDco7cGqj/CmhNhhkNUkihdwK4dVth8u7yeEAffuNBBPp8iRQ7MJW2l0GFYI4R
gnCYPqD5Mx0kJXR1Y5n1CQdVFkz1CX4KvBjmqyBH4NVwAbf+IAsHwOx9g5ACa0PwBxcQjfvczDEN
ERiDICVfxlxkiNSB5uNHAFEVwENpqusAZXh8w3C51A9MdnbvuiLaXKCDSS8t8saad5TIaD1Fcywf
9RKJG8g3q++VDfHks2XzkNEJB2Rk2xqfm4YsXzOfuPvFtjVuAfY6sNas06imrIOJQiX8MQR8CMO4
1Ms5BGjRlAs0O38sUQx/Y6LG+KKPpYRs0iZPg6j0caI9eUntGOacQR9Z23aDc2Dc1hy+rPUWXk/a
lNSNM8xmbQ/hPm9mPp+r1EI1N/YbZKqVWDwul7e7ZAPTcGF6ttIjmCvwvySC4bGs5mhG6Q3gw4Db
3TDIHqNqHNAU9Ot4EznjrisawsBNksqwIwQa5svi2QQ19NTjLqFSYG8w9mdIokADfjcEe8c7Is64
z9FTr4h8UYJDJqOGpi5xoEsowgCX3G8dEIB8S41JD2qG8K+MSNcctsHj71QJZH6Qs3SmnCPz5zLW
cLSL0RdIHFhfGarFfOWn3pqyHebscUzshASdIEkGDAQNUKCO6puoFfQqq1vFIF8SK1IAQsGvgqCm
72vbqEsfmBGG+VEW0KbRb3DruB78B+Nr0SSjtAWs8s1aumWVY97abBIHVzdZi/pro/ZKhnRNjlO6
JM+BqI2/BXKlIoABulvz1nTha8OhxMg7CERuNZQv5MCWZMVQwCncFoMgSGfpQll/UYm3S4FzE10d
+vOyRvJDtj+39G6JFsDQEdUCmWBd9DJA/VHls2tfo7HTL3bSOkdaJ7BHKD0h4KpmLPnWvlaw/1fo
rXxQBOg8bqyD7WgE7vLWVy44W4lNXdpGsbvJTfpySgZ4UCxT18AF2EUgSPYMxLhhWAZV+m7oFiG5
gIyPs13pWY2ImyrknC17t0Y6SHp6QDxsHLOLMar7tNx4gMapa7g/9Qmd20e4eBtEMWxjabHU42KI
EndA+xJe9auuoVlcwpdarP6FiynMzegILJ2JQg5bK/6E3JmUCKuYvmZo909hLMJ3DWX8C8FfSfLA
48HBivACL1B24yE+OJl5wq7L3DcIp6d745ANlWeTJiH2wXbPqwAGdhvG3QnngUVmSTZGJRIHroCi
BdfLQO0fEmBHmXkMKkjb6Lfc16F+DrI2fpJ1FHdFDFT/bEwfgqKDAlRF0cfqgP7bgzLAg+w7DijV
zUiOgs+GvWCi1Z15tPGo4+Rukggf8ocxy3bNlB3gy4Z4wa+yG8A1gAjVd/EKic96Wig8JLSMNPFT
fSau7uR2hsB8nb6Kxi/JR9LHWl1InXVTXIjYkikoszmJF4vipaCyAdcG3YbkYZOSEoLAcEPbmJG1
KaxKkTJ2dqsHiolkJp8c47hfsre07ycUlcGoFglEC0tqkpTo86CfKIM1rSoIbWJovyCTRhsPtdcK
jzY2DeT1cQKJam30DzIEKxtLEK0QEB5GsyABDExqUymomEwldnE71iBim06VrDYyPMxRNmGEaSKf
Wvuss0XMsgRBnGHug5Wp8Yheknp0uhyXNEvDAzGRG4d3p7Y5XHN8i2nWYtExWrJ8MzUqw4WAfVPy
Aoj1fidxWhHenurKz2z4A7kXG03yRmR7zhI0+iz1V8E0YmC+kggTaVPksfGMzce/p+d+ZcjBGkIB
gkTHXXMAmhzuzF8ZSkBl2UTgXvjRabN7m+ZPjUuU9BZEOWKxYgdJ2kx8AANGI0HR/cMF/Eo37xcA
oQDMu3zPQYbx7jc2tklWeKOqhn1XnxfQfSpPOsVbrLhAgxf75H//f5rDf0w+/pdUhjDZ3fX/rQXY
8yJ+yV+9aZDu52zzSwTE51/6GeaApHGodnbLObCy3cj2M3yVJ/+HMagTPxNZ/yt2lSBTHl5beBSg
ycIBjh/H9++xq1H6f8D1U4LFB1FMBJ3O/ybHIYl+XcVQEiGcM4wJDOCQesA089sismEqB4hy68sN
GAOUem2VouOMpaBrbtJ4fiVVxwBYJfqxAVlzuy18F5F2JCx67uQhZNArywne2YOlXt3V2SQxgga9
RLtjT55jkpjQQSL+sDFDmWQ+izBO813lpRZ2XOukvprbRV+TCuRZrml7bdDL3zMdZacOpNJJMMFO
sWrjqYAvRZSjUymGm9qeFTbIjRtXUe50S4DUphVRQOCM6BVCIpY31YFVLj0TVRHVbgYAQydIw4Gy
6CGOEbSFHv3syLtSm/4G3UR2s6kIWIb12XTAByqwzqk/ql1CvAifVZg5OAjBWmhyDlcRXyhLg49F
I0+ImYbfRbLPzlp09kflqRiKGk3DfQM27zRFkX2EDna5lArxAEiZw8lURJL+AM1G4EaQCCRrIZ3J
A0CBtxXpq6vRbMFHn1Z2ykOj6S1Gwv4Mv8DLzP3wKBfo9lWdzV9rM01PnE8eiVfBZt/hOqleLJwg
HHZlUB5pWoH13noMXaha55Yo1oD5aey5TrhiBbxE9tuw+sUVNF7+SKGJwkPu2/e2mSYEKDXTMUT0
0MdGXHvdEHsXbFVyiQMAdJXYtisj2rnoEzYemc9GWtp0zxUkq6MW77NSL7zh6ETxlBy+rQvGIx3R
eIEAE4XVXYobRchcPobCwQuQBBcS49zJD6L9ovu4/kNBuK8KOPQiCmgZM02HxM4QRF8CpBE6P/S9
DdbeebCxu3Ex38bCaQJ7yhoCVqmhRUerijGoWEaEsrUbRN05ENjlz0ZS1Gjjo75BGOO4nSBR7u+b
NPGYcVZ2XVm9lcm2uhwzRndjJqSE0SAK1wLahTjIdYz5KU+0qZ4F25ASwV0Vvw9+AYChTIIxvrX4
lCHdxWa2ioEpAk+vsx6xw13CHyqx1nBGBAdTd3NRI3gqtcltA4zgo2eROhMLTHqRaHVL0H7rKe5r
f7XBxzYeJZ96OI6keAm6tAouxUAHeeA9C78PCxldXpPFPc7bosVhRgDt68RbZF1W/eAeQiiZ3yy0
QuBglvAbjKp2LuZ1wtS6sDa7iCO1jLnNODL06IqBpAMXAR9EjdHCAZJ+jmZSXw2kjt9dOgCvC2Ms
2t251F6Yqs/eJPzKN+iGV3L2XPEvgNd0AG8OExge671lNRgWj1ndd9+SquZfbRO/B2Qx6JpsdBO6
dP2RGLtCtArBbr+jz/2LrNwYFq2VE8PL6u3rxGL0fCuTBp2UBikazK4DkZbw65oCVwQ7/BACFotz
yL6ngyWYKhBoER8ysAdFB9Fyvs2YTwE3NXDPcHfYlmm4VDoEn0FGVmxRLTM8h1ieNKAeCTHQyoqA
G3LCKN080jlITrqBNLIM+CRisLCWvFJV88MWo5jOlJgVia1dI5G3ZdpzBUHdrYr3iZPraHq0gMXx
YFkn/1CNHNZ8CKdoQTET7iwq32foeCCYntlq7EUcZOMFeBVAh6Asx7sY+VUfGow3wIJQzvfrsAYo
LlsNu08gwawg0HY+Blk9vKXLCp4a+Owr1AFIFRkb0R2mZYTbOUpWKwoOJPCuXrkArktNV6b1Is41
sseQBUPMEwSQBvkIfLmCtrcpulahv+3ZZWxWOG/6vn3g9diWc9WIs1QomxoYzglj35eqT9xp3PHy
JorDGeJgpGzkgYIQgU9zehhgGfy+RbOHLjpMh1JDVAC6rp5p3pJM3nkIMWd3FbdD2k9FbBfT/LEF
VdtfrCwGpP+SQakCuQcyZMJpenEOoVd3Akp5yEUkbEpyETC8tfYRllryCIaoAgWJaYYh7eE8V8tz
ArnE44D07EcXIisiJ40Uz4tN+xdEtGYOOWv9clmvlXrO+pSiSC3YVhlCJO6J8909ID8oUWGxKaZG
xbe86sZCzxt0NYkFjxzitCt8tza3jgKVHDKIXEpMfN0tkDpcbqqCYwjgHA+mDQy2OqdxDpgnvR5C
XP7mJ3qTJIBZgdtO4inObHqWjVq+YPjLhryeRf0jgvf7Dkyc6+CZHvT1iiHpFkmd5mnDGj9XuPEP
0wzbeVltcvLT4I6IMt7eVIxkpWIbgu2iCltk2yGJM/fh5A4webuDwoQ+lwix3q7otLFz3dS66BZ5
P7TO5skAwkBohGWiyCrxuGzirFNJb6AnAbrUbzG8eJnT9wj0gQcQz/OL1T6EX2cDcx0H7CQHG9wp
OD2jA6VL8tDyrf4Ou21z0fhggfBu8Aa/g2CRy3Vj6wNVdjkhPpOf59CNz2Dgu/s5BJqH/QSGqXfa
IjWYgS4el2puwLCspITBDKSEi/jwAE8IcgBHGWGM4Cw81EhxAfHVxndOdeJmY9yfRxyMTW7octvz
7IPohn+EI4b2PBmT4aUBK/hGFqHOow7MqY/qIAPkj1KD5VfjkI7bCGHDhLBjM0t1LzhaEIOUgVJN
YfpKdZPdUbAih6neiybgHAqf/bIk28FaSvUTIqBfGgQQoWLXiGK7GsbBhQXpYZIG07Pw1yYQ6gn5
MCOEENCTjhcR4wOsKCm0iqATw4Fc03RqcI7xsCeA9qca7DEOfjx5TbcVvo0KcqUoW49RnbKj4Skr
6r5PRSGr5WELqZZXE9SN3QW4xPoFov2k+UZTbPECBjaSHOyy2WoPPfWg+2/CENq56aQr1RB3iSVL
ETfLEPgcjN8Gsb2i7fV/KBX0H3L29JlPjn0Jh8pcDkPzZQCGdUBwV3dmoB0K5uauYNo/pu32igL4
Z9zU3+SUvjJYfd8jvWNZ/5e982iSGzuz6C9CB7zZJtK78lUsbhDFIgseeA/+4dfPQaklUewZdsxe
G4WkbjIzYT9z77l248Q4u/pXL9CyPfCX4lYaxWa0S+3MyTExKon8UAHm/rBmZ2ByJWSOjEFafrqC
6VTsm1p1d5Yz5irseztBpNKw+Xv03b7ZlLM53yUz9c6qW0hhf2qq/9s9/U33xAsXd8H/3Tz9O9fq
5/bpH3/qz+7JMOw/DMu3HX2BVC1pTf9qoIDa/0H/oi9G/08gCXyJf7ZRJukVKGCXtBmoZmil/91G
AdCz+As9X18aH5Tu/5826hcFMUsDAGsQLBeDgg7wwV5a9Z/cEh3WaiFBAF+r0QJUNTJHXNUWRtYw
98bhztUcdcymoco3up53r11tD08QQakR2qCSLz8dvf9Fhv5rNsHybWxwb8uAQEfWvESH/Pxt7EqJ
PKDfuZqSSjMmbQCEtlezDuVuxVc6jDa30ABDdtWUPqxPrCoM0rC9evbycKy+B12n3/B3JKwFisJ4
Qt7vGzvlOtEPA9ft9DeTDPMXtffnN4ZbgN0Cf5Hum78o5+2UxS62sO6KrzyO1y7u+KeBTAtr23mq
dgBMTUa2Tj02iLPnMlhWuW7tSqaYgGGHuvueTC3FYaoJZw3ruWaXVCY6SsPGyTGc1llym/foclgP
tWskZcFzm8gTTnqgu9AC3UvagFTe/f48/Npa4xGyQb9zIlyuDevzR/90UXhKY/0jivYKPip4rmMf
Bqedm1waogJ4PE5N8CAio/jy+4/9z7HQ4gpYWECeFbD8XP5j+Vo/fSxtfGyLNgak7RMxgk+4vyJ/
xnkdJc+//6RlNvCTOv3zkwKdWQSuG0gT/i/XmajwmUmUSVfErvYboAgIz1HnU0bkItnoEgsrr0Pl
1yEyxrH8u4vmV9MMv9LUTQfAIfl8PB1++XhsCinjN/RuHhkTAMd65y0vlu+Aeb3dsD6pV0rn1O/G
Qo5IGfPa+8H+Fe5AoOzz5LJBDa0xQxuVoU9+QnNjWuvEV+qHAJy7JiWmxC2OgLHZO5Y7939jpjD+
eqKwpPDYwEwBIIVJ4n+eKN3tncpxIo1+JyrfUtYOJFRoeVfZK0vBdDqOSZp/w6qMUnWWWDoZiaYh
Sxzvo/PmuQ5VEnsMsLPhR9pY3vfBEYl3/P0pxunz60mGpcJF5LKMBoHheAtv5KfLyaVH0XH1WpfM
xv0V+OsuSGbKyMkKtt3Q99gQpX43lMqh50wSj7V/tWvNRuwKW8DXKmR5L2B6TiuvGOOXMSvrA/D8
biUcKZ5QGfrrCJ8iHXuW8ZLuLBZLUdZW11FoLWsoNhZxbDAeYF+KBcMcknKPGq24N7P4NkZdOK2K
3pPXLpKPnVlqFvhkc4n6UCbPBruf55U++tm5SBz/NdLRviSub5xnhsdBONLDlvjMVXrQfGI/VqPy
57UxOtp6zqZ30cruocckyd6t7LxtREF2gBFpPsoE+imTKc2g0kxy8PRgTRCAVFL72peokIVoWbAg
Rz0YMii+p4Nwue+tMn8g3mTyVgOTd6YnTR8qjgO7EDO4QW01bZj4yy2FlTFsCgxjyB1HEBDhYCbR
pmwtYj9EcJNEyGzX9MbdnleNOYZY2WGOd17xZSrpzc0mEA8O+/xdHzD02qIpn998t242rT5l83bI
/XirsZJ4Q5g0fmAgEU6I3YP8iio2h3g7gYfm5hjHjYqH3t82dbRQ3a1yT4YN2m/XbmoONPrjVdZm
mcZWecQYUzvTvLK7IgqtTqtK1t35Jl5MYpTfhr1O2wavQcaV1G2tbgza3WR505k8nLmIsLbJrixX
aNmQCn5PosQ059d21KZl9Ro0PMrrd1OVWWc1KEH6XujXLu9wZLDal/MO80kXoeJPEXJnZlE/6DDx
DpmyoCv3nIMIOZsOqh1hiQ9rI4p4H3ZFPsoNFLlYD5uiM6IbSnMXXXauPDjaaiqC7uy2ncUVNUa1
AT+85124dbUki24Gbh03DiVpQ1xwjKHKLZEeTbBiZcHCejOh7Qq1KDACtikRzlysOhG+fUYNtKVj
4ZGU00ZUBVuniss59GcyHcLKzNFEl8lCpx5aFbfw9TUcr3Wc+h9aPzBwXeu12WFd8Hv/6qCfjI6V
5XWek4XV1MpZ7VudpxtSvzjxMC23A3kpQdNWgN8Lt1R7vW1LETom69PQmxxV7BqQJVrIaTVfNFGC
skdMkzMHyEtdu0FcpqEl76rqhfyVoDxYTdAVmxw77P3cM9ncZggRjFMyJq1H8k5iJt0uagZRPfAy
to7shcx82wu+wabuinje+MY004dlSoyX0sd9sNG4VRp8LUZ/bCzHKdZxZMX92sPfJlbpJ6+6gmg7
/2BFF7iozzqUecCbEnkw9NTeswchjATrh7TWaZ0yEe6jnJ3i2IgAusuY2aGFJXdmjZvN2gkOur01
RIT+2ksCT2wMkJQ1Ta7B9IKwkgRYHP/eymB0WXH5xFgVJ6Ii5hVqL+1rw7ZTwRHgPjKvxgzJMl35
g61Zj6oYzf7qikDV64qt4MXpK15JMYYx/gCTNI4WqB2jemUsQeCLBD8ybVuawPQE7at7tDOTSKAp
Qk7iG1y8YAdwCW1adyYsAHnHEghggTkLWaxtUlAzr8U4UllkcTY8sPQav4kmsdCVjfSRPuxcFK5+
xN/jFDWwoc9kJpR7ln3XLilPRoc+azXSsflhB6Jl2gC2yNJ9gwASIbKH4uPmM9aAfnK5OLNMtow1
26S9nZRNmJAuR2rHZKz4YjWKdePEGyx4ZjXJ1V3ylGzWvhFM9aFrg8i8zRo8CfemXwX2YbIzAoe6
qVuKz0RNt05OXtGmHks+uq5nMhIms+xmZPXe8uOXUKmR5xPfi7U88TMVv6KXcAkIyyAUKAzygVtH
FPSjdxUkHiSnPVXBPwKDDLOrkhtp2IqpoSUSndMN66u/lKQhMUHWe4nIEle0tVGDxIXE/2b8yi/i
AYLEbKmTu6okLs0KjvhfU38FzCbnumBg/zZWKKhQgmXq3uomvT3FlLnZqRa4Mh983haE8ujGVQax
fIWt6DK8sZPUPBIJE/Qn4Jls/FXjSaSh2G53wuSwLsJn9Z4XuXM79S2iGAkIN38Z3TJu94hNyw9g
HcszJGW2t6YP8K0NA9uEoAoApS+aHpXbchQx4hubx5xqxuQ+xTN2QtGXOWvHbEwoAoVj8zpKzOC5
ybQh3hRmxW0ya5EVHOyqNuSPkgeyOvoGl9QGnwDXSOawi9giWBs2vGRGeTKa3nTDKCi6gTct82FK
b5l9bQJMWJqiTD/OQdcY3zEFMVAuDcMb8ByY/FVTaSxWkhGv50FwWsZQY90NFGsYusukPKRYQytX
vtfu7ZKV8H4eF4sYat5lXl/kdX2p3Mk+ax1yp00iq3I4xVCdktB32jJ5pBIhrwX3Hz4xL22HVZ60
TLeDcfAlbwElHwrk0ekXoybiY1jNVGDqSXQo0fnLsE9sEpha8VGLxPgtiXVtgKTTuvkhxSt7N7Va
NO8aFMjpJp17LtLU7DLrdsqL2bmWrlhkzmLQ3YttJPi3CJMZ282IKhtDo0/yFXM9j7GU37bFxpis
qVkPBXaGHRFeXP25PbE0UNGyu4gEouIXhCfGY5Y0XGu86YJnrvWyva2CCoByb4oAlkiZIA+f+ldg
UaNvrBixeU9kwpCSNOIMtTGqFCDtZATklpc7V/RGpBZnk8ZBTefU6vL67DUisW7R9BfuAXIbi6N0
mrT4kjfakvTSIo4kN6rsu0tRRHz/BjrLtk38PME0qOsHJW3ue+Vi/gSYmXiXz6r0v5OUv5mkQKzR
/3YPzSo6FeLXVfTy5/65ivb/gDFg2IZpYY03WEf/a5gSGH+4aDtYONOs/DlFsfiv/1w+E6cN3GEZ
ppB56Ho0C/+MUPhzLvG7zM9fOoulmTADpv5Lu0oY568M9l7v/KQbkviAQHa+6GWDTi8bGUrY6BeM
NWy05n3qB/mO8Cr6m76G0cx/9jV8OmMpqACIghcGucNB+LmvST3k37lo8wP5K/PFY0qy1cyWJ8tc
Eh7pdIm+7ySkiZXJazlbGVLl9mpAb3muAdk9MaFEO413gMqwRoDDRsdQdRPmkTndss7K1/T/RAWK
HKUlY+e0ByCYeqpHmSbMDduK+QKQUN/zLZfSlKdDfh0gIP7wMn/JA0lTPJQJwKdVRpV5v8hwQnBN
084fx+kWFMu8FVaisPzY0ZG6m+PmVlN15ms61SpiW/pmQcDeAmHP11VPKax6lRkrN7G1iiAUYmj6
5sGI5l47+kta2UppnKXv+KpidzsGnmY+6wMAwE3Zx7zXeG5qzmuiU9ikPD1xUpzqzsrZ5o8gYsdb
aXp9ssSgjfEV2Vjib+tcGfE9pbW71Yu8lPYqjUvdZ/k7dPpaS3TLObAK4N+MDWqwLxMRDdWOhaKL
+QtmApZwhAC4D1svpifzeT6HRu4aMdlfpRshkVjJKv5Wziq+YUVWb2p9LhjxE++wyGql/2Xup07b
VAYarbGS3q5353XH/4LTNTTvTiaHq+dnPFxzHcxXAXD3bk7Nej1G0fClYavlIzMqm1K/sEcsdijs
RYPyMRwKV54A5m0lPfGtTHKTC0Z4AG56XA0ae7S7wVXTEzvgRdyGkdWj1gvRymHgQej7Q6um7N5v
uwm44MRrKNDwbYPWO3Sw214zZ/HeETzAxIvkVirQ7shTe28aRnGfFFl+NyCapNDW6P/BAe80Y3SP
eGHYtqpHjxIPI0QQtN+c2ojuyzzx1pNlpZiRXJZrY1eePL1oEXPR+yZzWjzVg1utCKVMdljzgnc3
ziUeh6jJbgcoTjiDkLqEk1D6NaA/xvyaGdqxSlz+lNIr/Q6gJBI3onOfcZaSayfMVzQHIkZOkL+n
FCbPLj3S2kYkuyVVyD7ESOpQS0+kdVrjjyhq/bcZf8smELD+KUbi7g2jwiabU7ZFyWgzUBpPg504
NwU+ky34W6uE1RlBSYrt/FAHhnuJas94nUxaIoOdXbQycepgcS9w0ymEEHbdPiI6i28IwqS/wwxw
Gqk5rwUcsn0ZC+eOAFYolIPIvsgqyV45o8Vumnrr1NcstvuqEtd8tot3EXcsTKIm9o7MXeZb6VD0
lN0SopoKdpwRMWH3KusA3+GG5rFiTenFV411F8y6i/GNW2JfTA1LSuGn2Ofd2Lrp/b49D5ipXiZa
dMwKasnXy4f00iW5fOzzfnxIU1ccrTyuNtqUBq+oD7LnZnC7U+fUgbaZSOsDQu/N5tYgjwCtexAd
BJyyXQf4fI05gD5eDs6HMzRyZzNHfZkynDxxoLEzEeWhc6ILCWDgBfpEZz/FcNSo4oMZiJNi5Ux5
Z62IIu2/Y3swAVxXxV6Pp2lVOaJmGNEOtJGYy81En/ByufKbwMh/okHAF2ojVHQre7zLakdeE6zo
e1zR1h1kSfWlJwjtnYyi4Y4DEt1gD+1fKIONcLBH2BNMi9Z1OWX7sWAVTzge1TPcw/wJgGKx47Rz
t2gjLa6Xi++W5naUTyWy6Smilp8oDokIa0D6GkMF7KtUbpgxRqLocsyPeXGXrUD791zK9GyBaTwK
ALSXJCpvkZ8GVxMJy5eFOrGb0bGDxCNWC3FLql/cNNcvQZcHV60uzTs1DXhCjFYFZyCvxS4opptC
9jjADW7UY482ZD3bAQOAaOymA+iN+CggX69j30XF2VvVpZcdsimLRw0Kh5OGzOVoStt4cBUQxxBN
aBS20lXvSTZODT/aJ/SsZ/6yByQnvyHh3hA9mx95lwSbSNbm16wf0kPROkTvoeB5NJqsvY8ZFVxN
gjpxhMsZV43K5VNb9cF1crz5MrRCexN1D+DJMMb7Iq2xDXH3eOdqHNV3pdXEXuSxdPZV5YxHLS6H
XdQaw3UgmeJo0j5s/VTK5xHt9y3DhWit7GHeIfxM7niziVc36Otvfld5HyrNuwK/EoNPwKPfMchn
GzudA7QmYjvWfn/CzOmsPUJ8iA7iewIDabWDb+QMCfW2GN5w+RoFwzEc9KE7a9mxSGz5HIFY29Se
qA++U6ZR6LhZ/lFBEN22ePleQPG77gZnUPnNimN/V0mMiD2IvNPgV9qqQEt8gOu+D/ocEyCOUN4n
qM+Ka2frwU3ml+0lN1S3QW5cH2WtdZeoI6UXx5RzZaozrLSh6l/YZuFlFcHQ4g7Dr7FqrbG/Q/iC
60UL1A/d6osexVDK6zrgGJ+KsdOgNjvuq0xrHj25VtuQW7WsWh7aArXKHEWbTvfrGy+vrGuqRxWP
pUGtc79QxiqLHB+dSf15TYypFRI8KeGAsLefas9/y3UsFbD83mwcrxcNacaDHwMJMHT4MCMeDB6D
ykRHMutwvKrLcgKPsrCMHS4d9EEAVIJMmpceid8hNmt0cklV39bwPJ88vxuwoIPZkLJ2dpoLJ44p
obXxUWesixyHAoJUcVCz3t6hWrXfO4wQCCQ6MaPMH4IHw8kEaVGtucXKYzw6UZbYYakJ+zaP5OIC
Habgrogrb8dYvGZya53xpI6c9tLWL1I3Lp3tMgrsTB+0qCZ/kHJndqjpxmAfddLbezBowrZoceBH
qr0VcyFucyXkPmPQuJ/Q7YazwxBsHFkBQ3JsvBdqAfORQXeGgxVp5Ydfav1rWfvONsrFF0cWwEmz
4M4ySVLl9+kddceISofmndYuQx5+JFSSiL3KJJSSZBVY154m5/dUNCW7P4zumKSnNQqy8aSYyXJp
2i0qejp++r18a6S8rFGJAMAe/cZDO4LzPgsnHsJXxmNy3crmmXDh8mYYBxvM96zbO9531ZZBSM7A
VlNbDbvKnoxdslANjxmL7qWvFGhuG+KkoQBR0b4XWRTGSR6YsDkaIz/g7TJCruzidqzFkIRgETMm
ZXpN+cpMcpNr+XiPvJu5OGGzB1dX1U2Xy5H7xHIbLo4AVXIzJ4goc3OX6zxWkDBTTGM9nljLm/r4
MOhF/EQ6cfEETsXfwiUkaMeJpLwReRec5tylWomd6KB7Al1XrGeYSnNEhCSs4/RN+6GZ11NsZces
CzAYpYORYuKMUa2V0ozbH1aZeW2Qr3Lgij5WVWxyERyp9dT5Dem5iWQv21oXGyT6NZCNscZ5G4dd
LKcjIQvzJqbw/zK7/imz3cfYTcd1bwJXSB2DX2kfy9wzvqYwd1aNKkhPjtyAkqx0v+AmNQ8AJTGI
jYm1lr2Ge9ia35pEfUs97c4XONaCZHCRIkISaWWqh3VXjTvd0sizdYpwokU4pYVRboiheeK0MAVU
PqCBFsCSVVDcaEV6g/fIurSO/Wq0mKtZ7fZA5/ESw1hA1FgWHBhEI6uCzPaVb1lspJFMHWGSWduK
kT67M4Y66YDuyzafLczaeehPRPHobtVsF1tSOMNKD6O8t9YEoXbIHcsdubKMqNLMeiVvetqRWStC
suV3cB+8m8lFp0nadX6puPzeCNbcIFGPHsuudfcC7w6cgFa/JMT1IhYb7RCeAK85gq0OqfD8LXuh
Gf5F5EAZ6pnA1l18JUWINztq2RtH58dlfsGkpSvpE0TThRCd2tXvV15/bUvRZ1vQ72y2XogDlsbx
p4VXEtmMxTGsHzKw5JRwyIePzezzlHYQHsNDrOhIqaUqXtmkgf7+w3/ZCdKVuiaybzTfPjtFI/jl
w+e0wi4/i/RgTHXzPoM2PIu0SG4Q3+X3v/+oX3buy0dZ0FosY+l+McX88lEM/DOQAiUfxbCx2nCP
QEatVFz/+P3nLGL1n9fEnx9ks95k4ADG8S/QTGJEyIHPvfjQi0htExSYB7efzE1Rpd0tER55cB6C
hLQVZZdvwouXXcscJze4sZbmOmKmt/n8Sv+dH/3d/Ag5CHKA/1uKc3njWfVWff9ZiENw4fKH/hwe
ec4fEA498Ia6raMv+HcoJdnGf9ikQFlMVnTEAD+PkII/eFyQhQo1mluLq/vfIyXvDx+xguERc2kj
C+Yf/T9GSn8Z6iAD8nWdmYbOjIpR1n/eu0TiZE2Z5PPeiw1nXkWDXZ3jKVZPpQHlII4dJ/zp8Pwv
Wpu/3ESo+ZAPMT7im5O9sTxMfnpYICcArD+7aj9NWQPpahhCF9jX7vefsigBfhJacFR1ZDfmYrty
uYt+lcd0TquTqZRMe6KiUVOak7zjRUj+smeLDaBOOgw0tmtbZto9Eu7p6fcfT2rNX76AwVMJvQ1y
Ir7Nr1GSyGp5USiv29cwm9mSwCfdAmPQ9wOCgvNkJs1xyqamBUPjQWITkRUhIBepBhmBMc8DJRMv
/zry1aWlfCMN24BH5oPE2qIr5N+FZ0NfZGFfYOcDd4WHbdQqVLXIMT5kp/J7K/Nzukp/3ie2A4PA
c+URH4D8EqUS8PZQMgATscEOH7QRozkilOa9TuzPI9IccW3G3Hg0cRjedlYfHUe3FW9+WfLqbetB
fSQtv2ioiuG56Cu1a0HNnAHqEGAXpb6BG425XxLp9dckVeLVgPumhyNN+LmVPMl46EX3weCVqKFb
wWKJQ4VWIV6wtvDGbNvamdBJIMd5rbnxmDE9sj+EUkTI4I0j52WmSOQcLgX6DeGlzV0NzgB/qDd2
IXp3egcY4gR4TOk+0stxbUVpc8x7U961ZRcd596beCEaxUF2aI/BOg3PmV4Ozyw83QfOjrkhlQau
n0lx0aPdfFf1yP1ARxymY6Weki6qX3udNFLWFZW+d8eAe2hk7GqxzDu7hpbuJViwj7EX6kln/fmk
MCe8uDWQpQjB0UHGnfGI4Kd9yQhcPePSCM5liZtx6RnsbAV0UGNk08/UcEUhGD5FBZaOwdzU0szv
hYtsvTfipTXnxcfOgDiRnFTEMM5MMBn0Ty0xE718B/CgnnytUzsXQe4BYJy4Ko+txNRnbMFaEA/0
S25bHETr+6sO9+nao/9iSBbl9/HIosRFE3+1dc+BoB8PP3KypUhN7PItUmmdh4ZRf00nOTwj4GVI
Kwf+qmXSSjCmvyi6/XOArusaoV0OXU06N2gxhtAO+C2unZFgEiRlOOQ5l+LnQNfIU/hMqWnfxOBD
N9EQQDAAKYBhAQfquiCM9IMdqnjzisBhyxxl2bpjnlut6yQCCKNH8p0Qy/lSMbB6Mscy3YFOoLpv
ZL7V8qr7jvjDeExtKtQkLuatoXFsUYChb+6XQ71cokU1DT8Utf12zhWvVTlzJmy3xlRicP03+SBe
i5hSp2jz11Fr+2OS0lbE/ofeByjpkCCAfEK+YB6S1vmqmyDiTLzzz7HJtbkyGdjuTL1myGcXXzEg
DT862xNXkTlclJM5hFPCiXKhAGwjaYsbUVo2geujc9OryHis0la89o5bf9U6m6t1GW83ZlR/tUpH
nTLSDB4mX1HF07MgHKjG+o0Mk7YKU8YxiEOYcX/+ODatBfLsVruHrVB16wlq+WX0VfsiWi2/V3Vn
+Ksh5vgYqD2OgJcJeh/1dN/VpseMEyLqzgFy+y7Iu+A0lXmPkB0o5hcjpU7JdMUu3jWxcXSuGfvm
C4UZM+nXoa7G7j0FuvaaGlWZA3ax5oo4rm7Wqg2acBbd0JSIcR9jq7fvrVzh9rAn9UTZRWih2yfY
aPCPr5miuluuQ6jJnWnSUtRTx6Opr659TX8Guio42lp+2wFwv6v14l5zepCeosRO4zl3c7MUqt5k
XdFKP0ROdC0hIKzpwOJ9bM7JoTTzJ5oGY9MXqPx7m57EL/FwD/33PDHLg1bFOKDt5JDMbryqjF6c
63IYESPhzm5JWvoObkBu4rTFuS+jbTE2xpGEhmBtsL9mOerEa0a/6dWebXXBLDMoYBPRkRSLo5Zj
AUwLiQ9bBJE84HMs1qY24SPXUWLAMyOXryyKj1jMnb+iJWdm39p4aOzqXlVeukHgFZyyJCaw3s3G
rZtww8qsNE6piqZNT4DjYSasI0Qlpx90QtX2pI6pkH2uj64AJ66wfG7Lysh2CX1lCFNWP42k/Oz7
2HhghR9sXdtrz0ZFAsHG5Ni/43ke3dCRAeKPcuYcrmK23HtTpB6ACoz4ddSc+9YEgmjq/SEeAwOk
UeBCrwSVzfa2fbfqsd/FTD2KFS9wH1wWr7nFowR+1ZX3luMaTELyFt5On0yIGTTck/701XcGxsVW
Pp0q6FYgRvP8FQRC7YUu4Ss7QBFESHsuo3XCmYmOGmwEKHgI76jO6KiXmcVB8HzV14qHSIIEUsBq
ENxXF7toxQnXxrypEVkezEm0aytJuKta9Ha5XFU1V6DqDOco3GZ6mkcrY/+ETc1vKwaxa2vQ6qPR
uPMbHD/ngDBrfsTyXseh0Qb7iVnpAbqcuoWfOa8HtmXHvBR26JoFgjs3H1aoAfNNi7jzzmtt0jYj
ZdDANmO5gt27lRqYOy0ARjoSvQAMwcq+eG7MqlxX49aO1LDqQelsZVKQ7hCXd4Wh8S5PdViGWM+t
lT0M61iLg+fCj41dkXLFu1adHPyBgIlgjOxLjbQTQvCo3ZcAXa6EtWA1IQ4Qg7kTJPZGuk35A+rN
NYlm7xzgxXHRKYBHWcEbdtalneQX0c7GAffeEm2UuM2pmCPrFSgkvBjPAZzGFqJoT4t/yA8zI9N/
iLIsi7XtoVlgIq8Ph1lK0Gml1uxgEjqvY9Gn6XrGDna2IXi+lxYgYdZPjFDRmFVG7LwGg04WG/GW
6YphfYsyckJC5iXO8K3ODDZMxMlQFwh5N01dsXbJja03/lCmJ20qClg1WOY8Lr8yYfsyNOdAAjNA
xokGgdBQJ91jPIvaMEtr50bBOd7PSSW+mcLXWtAuKl/Ojc5KkxIpyyzeQ4Ux79lZVefApHUnBK/7
zhh/FGE8mnW+1fNlSSp4Cn9URUH+qtKie5F7yz2QUyZ4kS6idez0FERJWoYyEc7NnKbavYaLiZ+b
Wsm2B5DjrxHVYHShyEvWDPvEt0n0s8DKw0kyZt7OhOXI4z+KLxBVKCUM1X4nLiPz1ybBEdTJJfun
1aSUuaEMJUgBNlwLcVnSY5oDW1uGgYSmem51LsBc7GFloHeoAWR0DQor1GMmoN3EaXm5k2ai3VfI
d55T04pvMIGxaHVccY3nz28RSDxkoMxWzLSWh/Jcqo8uoyZJA4/yJJDSuOUxWH23hFsPaw3nNW/t
gUdlvGiJyoavo5bNWgL39TlJWaKyhtYYPHzuygmxVCd9yPj9/TCugcepXU2x9Yr4G0aIWspfQFxQ
VqbiYLb8hAVP+MhmRH34SqS7aY5qgGQknBnp2KqVchZZB/m0xSE3A3n3N03EryYJ+gaiG3yaRpoZ
y0Xm/5+9ksMOWhRqJN9S8ixRXiqyjSwDta3VxFWRVuM6SJiyDqYa9kAVUaga5pufiRdEXyiboFVu
NGeMUcCW9WVoTPt1gNxxSWcrP+l6aX1l3ZhMF/JDq+HUJIl/IKs1X+usFLYp68sdILVsHwepc6Mb
CcyzqaROKMrgzIt73lasdk6IskZIHj10yeXMmnav3Q9x4z5ojqc+Sj/WnZVZ2Zh/rZZrm7QO6o2R
oN2+58JZjOE0MP5MPQh7DGuW7XHqyVPkDviskZA6yLuqkMu5DJZyKaeQCkqnXdl6ynTJysXGnCJW
jQxvzhkLmu0AKDeEAjk8x7MWI4V1zOJrYzGMOoLO84azjMaYg5Qyc9YmlsobJ84TPeyFFRXa3rKy
HsKkY3Zaa6/5QZX5TECmweDRwi3luXMRH3JeJetoXv6PJZgoWusto5wwShGVDQAkcdQHut1+9wpr
EjwFqaUaPWF3BRiWXxxXQb2ZuPgTtieUUMTy6IzeKa5oY/Q9XQ+Xtm+3L3pGiW9CWwlbR0MuUQZi
vkwNBTORceKbyvqcxLgu3bGHhVWUj/M+mjsKOWg0/XOXFl+9hrp9ngzx6o+FBYxGpSBtl2MX5KOf
HmdkgyE3u3bfZKb1Ody6y60h3UXswStEYV3BotOv3yY2WW+2gubXsbRCJUn2Kapkv7mlA/DPiIVZ
jY00W25RtS+kJLUvE2lDBwgu9dduqamrJCiw+HcD0J+5YGmrirEHJhiz1m4zqkVM3GypU++utJr+
WTd6c2NWZv3mYIPd6TaVrTDoWtZNNXPndeiLX8yMRl7KQlw7D1fMKrKn+o2sR38NVoWKNLLtzgtr
TOkDKt++MrBs8g87fZbvdTVxVEpWei1VOTH19rxnSy+PUhBkzKuIW30KlkfXgp/ZOorZaVGa8suo
PP9sjLS3rUiCc2yI5pgqrzq7OCnJHijVrsKJEeJcH559fDkk+ah0x5qPIsSnzC9z+nKCCujMiEL9
8LlL503qz+I1d7FpTp6Ao9PR5kCfujEqsKflmLghqncnrLSlYFm+9cRy1Fj5ac2FURfLObDG4mAs
t+pEJ8uLJB/haKfiqwOXejs1ZeYSyzyaG7acdKRL05BOOo1TMtnyTkcIAZESBsz3z2egqGKMUPTY
6pRbPpcqxQb9tOVyqJZmsC48dZpjV12QGfrnz8vQnGh9ubylvp96TV3smE7TapW8++y0K4vLhxgD
tlBIWFgz030U6Dj22MPJZ8Oadu4j1wk/2zIt1jgMtqSjYNDDoV8GKHOKGTMXNOIIPj4aeMkX8uh4
xqMq5SUwTswgfFRGUHKm/B6CNZAHCo+A+pBXYV+z0ZH9wFCkArq+isf/Ye88tuNG0q37KvcFUAsm
EAFMkUhPm6QkkhMsUQbeezz9v5Eq9a1S/911a14Tre6SSCYzgcBnztlHz47Twm+kYzqheV64BUt3
ZPSB3J2xS6oTq9Rr5ZbARtpIBibjlvxlzpcpt+/NVNpPPGh0LOVyaD91CcZdzrC0fgHGx4DC7sb6
C0JjEx9BN38oNG7zgIS4o7Y2tRaQeRIYSzM4XTtkzaGxdpCENxiCY75TbtJk1wtHnGXw4699syL3
/XZKmZkVZSSOmq5909HxUKYQEzFuspyHVN3q6e7HpRkzMqoELTnK1OCCO5wBeYmIgQA258bp2vql
NJhdGG3ILKNfaxSCyiN2JVS4m1DvONyReX0tM7d8m0JCNxu9dm9GxTlbjhFvYWTXzRdw23wgadob
25ayFfU1ZVGXcE+v13PdrMdwG5TtOWvJNgNFrqg10oYvdzsY4qvX/Tlap41jnaxPAQrjN8PhkhBL
337t66D8THJteK/6inYdpfKGHR+FFyeRRwJCiiWGX/FaVjjYbXZhWqSXfBzo3iE7+ZIgoefrs8Fg
jXrqHabliiOffp/hFVQCca9CDbwfOi0HsjTvMPI183ls5mHj5oK5RUkFImhDNpFMUDyAFscgyweJ
CSg7zple3CxWX9zYJsVDvn4GwB+q17ZFT79rlpKiCNH51oSY/3EeKU+qlLmIXmbms5YXHLacYy9l
61SvESHEJ/pGubmOYoi0FEfHrIJTiDUbbDKDjJbTpAJ1wMIzJF5rV5fTggGZIjPnxl7RKUyfWGBi
QtaH8i0zNQaDZLd/tOKAEq2jYLEk+laTod6qH+DiuR6zk+LdoGOfz00p2K3aA5sw1vlrHddOdP+N
hVaPZvkDLu3lQOokreLQDryZ6Dv2bOhaj7AinlpyqKitLa41RNWXifjgN5PwjxhtkV2z480Y3qxH
pUV02LZJrfR+cUwSYiQqtoGs4K2Fzotyl1aVe7JhKlhgbLxVKCyerVr13xTpi3uc22xg6pQbN3Yp
/qqsrN7bHHAFYNYlO5KsTPFYxdG9qYq3YbB515bV5AKXnVtlYAFL58lOqhjG+oWqJBFeP80sz1H1
4EExezu+GzWdQ3asKSfgS1uk2CEgGHo+8Bkmwi1EzOBy/b/XGxO7DY8YzeiRywEhvVQ8VI7F0k0P
k8luGUxsvC/ZEW+tWNSnEMQYMmtig+9FpRbwXXa83FZyoRImTWo3ten3XiwlXOqWxuE6oFNt9SZM
OoJxrQJm4KxEZZpLv6eB4zcej0S2jIfeEa84zyN/WSfgHY3sFqY2Pywte+cE6rb8iy2g8W9rQN2Q
ylQEjtmGBaLpl/VYX1qA3pK6O+BDbyPEJb19r2RnbolGDk6koJC16VJ8d6E+PaiwzLdJa1uHheIA
8QS9C1TFU2sN85kEkBoyBcFpA5iaDxwJy+6/19bGasL784LAwLSGT09ijcaq98uLdcBZqEGz2oMW
syQf2kI+zYivNmRlskfraUyYVlCIGgNNUdq1lFaMMk4pNc/npGK0ev2w//uLum4l/vyiLFuZgg2q
w27n33YjyBNoI+LVqpBbNRcasV9+6/T1zTJqSMVA1Pt078sWkwuziQDq3ksCtXevorWTE0MK4oiL
ysokp0Fgl1/ZhKpHB2EhHO+awlBrSrjRHWa9//7K/z+diiF/fPoKABfDkj93Ko3ppmVIqOoh1Mz6
BKxqRYHzHMMoXTePhJSwiUBO4A+ciW/tvEY3oy8N/L6zf9+9/LOq/ItVpQHYDsPvf15VnsGz9V/S
+Y+ryt+/6KfO3fjN5QSFgspy8Y/MNVhstjIEEnbE7Gye1tX3T7G7+9tqtTR02lSJbVtnFfdT/C5Z
b9K5ujbSeUnWkfw7m0rj180h3mVDmtyuyM9xAf+600OWHlHtBeFpMCArbSxWpI+jES47ayzw9pE7
chr092QllFVXWBlsSPcylEN3aBSSO6s26r3eUaz9xUrTNn9dNzomvxwoOGxIpjB085dGHcndbKem
I48KS3F577qpfu8AUh69BOYWjWtfPsUot8U2RtDUhZbraRUyN6j7ffDVKQrjsSUqqobnO6tcfVoq
Lbwj85VlFiHlxmse4RxsthlBHrtlkJrjZ3Zi6vd5azutxmSn05zDmgvsC531RuQb4KOBLBEGnTYf
wGSFh5Ks4mTcuHZWXxhWZUwIVYsmmHWIe3Ia6rbSnJMtFvvn2umjpmfk51gPiyF7qFlIMsemRoIM
giUL6fKS+j2Hg34hb6pMvEGQd8M8b9Ui46CbjN0QmFF26qwyS2G7IPfx6KnFI3I1H+/oiKsu+DgF
oYYAdmlOdZgY+7632i8xWjYyuu3Jl0l7NsISwadskWjH04PhTqj3SfM500MPUGwHDb03hnpyShJ5
VwtrvinCCP1WkoI5643yApL+VbcSML9xW5ZMCbNoXcJUQIB7e0TSV2qPSw/fCG76jM8oHqabUC1P
OiD2+waQsoftsoCSPKKi3zmpJt6bNmfWXEWoZW0SVGDl0EpfdCetLgPZ5Bt2XiiJIZNHw8ZifXRr
AUqzPiQh2q+1N7pflnpLJJi5q91sfJ51HT1wZCFFl5W9z7K82FUKCfOGUXG/aS1dkjivDPR2QcUm
FO2tBTQU2SpiTbF04wY+jHzkXa/PSAfXpKxMP4UGljs03s6JgLYs9INCz16qzmifS1Um3+vRoH1L
e616woi13FmFOd1Ygw5NXUWSYXFHnB3Mb68xh26TzYCmTXxwEtPhIHaM9OFwVCALPqdc9h5qvmnT
caV5SxuOF10N4x1+mOFsj22/pbFz94Ln1pa9f7H21GSQEuh7ibq82bFCNWkryZlnO5crTL5AmWcg
S0K+2HyTDRNYzQNl3W9turLPZphEgHtADphEAtzWeSSA1U7Avuhxxg0dh3xtzXkhPFhFxtEcZNL4
cKzBxi3dWt1iSAFKpey2dTyzzhU5IW7NRBzlxuyvUeaLJ9tAe7ZRlStPaBma+Kkxzm5llzYTG9rF
QS3Naskj8iQEiX/GC8K7J/oAV96QUNUM0Y6kD+JAGAuLL4DvRkl68dg8L2PFzDdbxXfVUqeQqqD5
W6UbbEx6He4u9maCbYkIhv0gM4tdT+eOj6rQY3uvUmIg0q754Ebj8q6GZdoGYyuOrkxKL5azi4fe
IKqAk3B8HSIG817lSKquPFwKw0/jBrxhOBbjjEa2UW8FMWG9T/M2JV6J72e4s9g3HCeDqt5DocYs
3oAmnN/MpepI6ZopL8tQkhKGOhpqchI42b1NrC8JAXFo3rcZYnWJ5RS4dRENE4TkNrsX3BgIMBzy
FMZyKLVd0xoVBWuzyDvJcXDOmQmtlLwMo2hX1Je4tzpGY5lp3Qb1WN9odVeCILFq/T52kvKZ6Cgt
840+Fpi6+XvJNepu4ZNHp2Gxm9sRxP5DbI6I3XOjeGZ8ZWzCuc/9vBrTLcczhy92kfRLEuK491gC
F6mnWY3ENT5n2ktlhcu4mVgyXEyL+dhW6WSweWHVyGYn9Nz91lDKnGacuq8hkG10vsZwMbqhPiDD
9xcG2I0X9mV0IMaBjqyrI3GO3CHZAbZpYAyUS+IFhoweDds0P5WsGS4KErFxaMnjexBCVHQExFJk
G1NF7VuJYYQJhkEi3b6Zk2wbSJSCUe3WBnHZ03DbOTlLQOYSK53eclLg7GCs7rWp01LfHlp+XBZ2
w3fOd/eCzwgTjpLtm9SIr9uErMlvBGfzDt9/cmxSc9rWo11vORumIzye4GVIB4M/uOg457nJIT4D
imSRwrRvifDA6zlM/cSu1Q3LFjf0IK1HKWpzoz7BjIRwB3y5P3eOlNeP7QBh75zrDQENPSJ0czDU
to3kF9SqOC4dRLlpPVkfY5TOx4Q+84F0aFyZVv7FrFsWuq6dWvcgzG+SgKMfAsBNSLAFMofy6Cp0
r9ImPCA0cnDQelFtK+wPd7NdQkQFQsYXkFRzX3CjC2+MnfHO7gl2Mc3e9InFM72+4Y/Y0bW3ZEzr
x8a0pjMtq0AfUEXFK4uu4ctgsaJKqeX9Ji+n/VqXvGcasAWuUtvawLiEHy4SNThbnPoRoTvDgPDX
sZqz5eCR9mwrUhZrv0WJbT9rs/DHvHGt3dxoazzi0usfZdJ1BRu1On1nfsnib3ZXckcoQjPwkxa2
uddlHZAQltjjZ/J9Msy9DKUJKRn05jVuo5RQuYaPK/qsiWS413TBOl+XT+kU2PskIW58y4hKYVEn
P+i2jUeJupzC6z5IC3GkxCrfSLPodh2BH37Z6XxegZ7MJTdLUrxZgNP5nvHw1SQMD/0Ic1ceok1+
69StcdNynHEXtVDfQ9S94IVi3UTsDEueC0SZ6Wf4OK+tZkjfng3iMsbErU4EFWikRwD4XIkuUxBt
2LmPuHdKmChjpHd3ME/mRyGN+GnKBh10SWsg+2mYcOz6FqeGC1SDosi+jewy8hFPm+bN6qeyfZd1
HUBTJMBslnIRbgkHGHyA4urLmEz1O0TyasBdrLknJdBcUWDi995idnS3s7F0wmtAqB+dBNoF9oNe
3nS5vggyELIeDKC2KFzjScJywVjsyhs5R9j/Ei6/imaShjk1/kZY3yIX+56H/iN37YIpg2uA9Soy
sdOQNDwJcJ0U9YEtm5h8pC1RwKNVUH+VmeU8MU8Xflkr6BIimeXZQYbC+tu1qr1Tyiy5RTKdTuj1
FcDEwpk+0pnVFyKJ1FsdOFA5r2xcNoPaF2EE+BhLVRf7umWxs8GXAmY3MhYeGbWK+n28snjNOIzy
k7OyesNeVd/dgu3QJtND/Ui0CWjfohw0nBo9kPWpryOrO0uARqX8UWT/09b9VVtHV0c78Z/bumOW
EXMQt39q63580c+2TtGHIYYkER4gNOBsvt9PmLbxGyw2SctOo2baVyLV/7LggMe5ukPvBq8KDesf
Gzs4h8qBMEZDhqLV/DuNnRS/cKkE8wLoW7auQ/tGYeHyk/6oCY1lLJLMaKPTVEPH5tYBYGavl3d1
vdJBmQl/TVN5qlIWPV4X2FiU9MGhSwjbrqwPDVvqYOOsN9FyvZ+y673VrbcZbQd3nHG9+9L1Rqyv
9+RwvT/nIIMyNGCwvcnG3AHnjQGPh8D1zg7Wm5zOgvudKe5yXK6nQLEeCAuJ4c12MJKJcwJi8Klt
A04P4Wj1O+YX9cVZDxe8qbDUFp0TB4BB1wL4XHUQBNgIk9U/fVrr5vJ2RFnn5UN/addjTF1PtPl6
uiFziZ+q9cib1sOvCc38kieoF7YIIbVogx0FFVBh6yGpGUl1yexq2PPt662B/+AQjtI9mVUTn43I
2U+xCVs5KuMSeo7NUpFHBG/maKaGP2Ej2fGcMT9lLhV9bDXZk2FOcous4y1kCkyhN7t+sVjWQ8+k
+jiUPLQiw3yIJNEWdoGRTptjiRQVC4yFrYmeYrzY+khmYpaxCKkmFX2RgVnhoyytTaOK9Gysyo4Y
deVlaCzF2x7F4W2LfulujAqSfbt+6W/0cVubJdHbOIC+J4N0YTGJedfasbMJG9VeTOlihQwwVAZG
gL4wQsoKrI69xPLJFRoxxyovNhC1TsOIWUPhDn5Kmta6WJM7nSGgjg9xq9ePVUpGsWlFn+1SghQO
pzMyndm3e6zc0gw4/2XFAV5O+VPWpPmmSCHVmVYKFIl3BK9n+ki6M1mFU9pvIOq0H1IEA55ozelu
jokEryYbqanNK9UmlvKrV/x5cRQqz8xZ8SlJUbp82yRp2F1VxtmKav006/3XjH/P6UvII6hQJJs8
Gd2LIj3h0aHN8pYmSAKkvMtyB1AH/Ws1aFiIpnK/aH1x0altCBnsuxs4SeI8k+BYNfiKGW22t+Vk
La8DG+J4q3VddBJJZPgV7Pjas6xB+NBAx32fBEgLqOGk5bYnPZK3w9DWylskNWBd4q9ykom9OWrg
lKcv5f2kszPtAw2/ydJ91HC5RcRsOvGs7wJ1FuDYWaYXL/PYJw+RBR+9yz6ihnN9NxMXqKzZtnCq
Ly3V30ob+DiTreJlZvuWq4Z0Qmxq8yaPSfwV2NmK9ZOav5KsiWGHotGjfPokenr6AV/5oRoHDUGj
i7+zr0I/0cUrh2F7D7V52mktmUFZGtoAOFrxUUiNogUTlJ8HDft48Oky0U4qiGwviM3XQQVUxipv
9pmqzWPSnpYupg4gc4XtJg0PbqcAlZGQDHgapKp4cOGWwGDepRQZG5HiJoUtlGHbtcPjkPA2zxD0
jwyoKQgmariiw/5XVVWzX9IJCkoznOYGxxh5arCmR6MdH0dBihlUyYNWz/gnAaUATKKnE6P+VCQa
MAi/NhozeSB33MpvUCjd5VSoJT7DrZSL+5xYhI0Jk74nQnb0QNMQ3yP2+VzQRB+p62r8SsZnWQ32
CurVu7e24VfW86jyyfA2z9Ck8x3rbS5pPaQBykW2zYhufpg5dr1o4rwDK1iWGxrut6V3Y28IOJ+H
nmswnqf5zZ0npBdoyesn2s+nQsefzAo3vy/p58FtullfPeBkM44WSW7tvgIHSPForyqqJSmP2LwD
et4CsRa8IPfSJeo7RvhxE7J+3o2Rg0/UdkA9eXibHWIZipy4eDbMZF5uyt5Oeso2CUl6YVXomB2p
3xGWVkHs95hNSIeyuTXEYR7gCJAIGPU8W7T6CyrDcgZDlPT6lqbflPdpQ8i9l5STc0h7J1luJtHI
x4kH9pPVBNwi6cild2y6wX5pDSToEdKAFo21Zb93XP3xxgCVFW0QICv6EVmpS51pRHoHht6cEBo6
J+yG2q5zk4Lo4LojzQDlVJT12ZOjJYRZNQNoaHh6XLjuMkavFaIRiFQiPxhUbp8dB+uHlzsNCVvh
3ImbkJlUzPaiWmHuY09zhkztdrSGAQv9tGiPFUf7dzLi9NED3DredkPbPsyTWes+BnhM1AutKF5N
u6cdEfQqn8iFqz/XjR6/8kwO4TTn/W1rLfk95kH3uz5FPSFeWWBdNFrJTxqkn7tcV0dlyOwbmw75
1S5cG5JhZNU9ttEh24auiI82OTu0VyizqB9mfyaICglZwLsIEC9yPvbDbN9k6Na/kuyZBKe8N9Fw
yCoeHxFMy488R9xtRWQkVsDZJGhUqSqAh2EAUCFGc/qSxiwNOYzC4KObFsPDREY4V+UcaQ84vdrK
M628eU3mIL2zsirEXRAg0cYknC9Hl13NV8Fa7UKu3RNLbcDvMdjYY2pAgYMhys2KG6++X5DK4UEf
V3Q8nlYw8rPpAipY2fL2CGWedPX6DcfDsCuuEHoUmCGqk5VN36yUemIiANaT7k7JvlLsgXGFgWet
bPtezWDulQbx3r3C7+eVg18ZHUj8JE7A47srKb++QvOdlZ+fXFH62oQcW0JrOHLPgdqnAwa7P68E
fl65u7UUVP7gCugvrrB+Y+X29yvBn7xBfV9boFWKK+Cf/L5kz/GcOAwj4FFbqalu5rGrTwYja19W
AintQGZAtqYHqDVHYMLPtq11sgXAn3dbO4Js5hlt9Wj0bcdsiTSC7BpMoNaMgkmRVgBmFwRZvmYY
pA32DkyrPfTanp7/BXF+VWw74RJ+wPpx+ba2hLeBTjaCZcp3saYlqDU3AfRMCcV7DVPgiCdYATQY
IQvjmreQ2BPRCzF2q1sXBdrbYDckM0QVIQ1maDO2nK3ZesffEZ27Nc8BmAvRDs415qFuBpwWpVke
2MXzP1MGys4hwQBxcXBiI+Q3I+MzCXVoqQE/vBFY2T3abgcmL5lM/bW/Rk6ECN65lnSCKJw1k8K9
xlME16gKZ02tiNf8ivkaZWGtqRZ9S77FkKxRF4wjsa0rKz0mYfqgg9UCyKHuQnD05ZqTQZjsdmSo
vynmzn0UnUsG6pqrEbq5in3brcx7ueZuOEao9jUreBKQm0G8u5AxJCQD0jqwSBPcgT0WcYZxDfQw
kA5DbAjDu7Yzl+1oArQ3SVfbL8Lu/AVRJMNdnXwSLdoCC8+/RcmaHRL3Un2TCfjgdesa+alkohna
KniXogx2wzWGhE+TSJKqIZ0E0XeKPXqNLAkCm/iSuAnZ0qMVTL5WujugFVz/qLQo42ixxtsS3fan
LJiy53gNRWFyqtEfBP1NU62ZKXgPnHPa5IxC4b1H+RienGvCStEQtuLEa+5KYYbpS+soo/GiYGR0
E8U2GXhVZZK/sOa3pJpRnUacZzf8htmNuWa9BGvqS77mvyAkJgjWZaRfZ6Hlm+nyqbpmxRgmsTGh
VasH5LPaNzCMzfHa+v3TJf9FlwzQ2GQn+Z+75A/d5+iPHfLvX/B7h8zW8jf8IevDkFGQiW3wXx2y
AUhdX618Nggw90cb/L8dsm4YKzoaU/LPnacibWpV7NpsUH54Ov+GO9P5ZedJ8822U7cE9FGWrPJX
azUlG0u1GRMgYCptwW4+VjMiEtxmH/NcWMd0mqA4DmFYnbGotF8JZkWmTEv1MNdFc2hATJ/NqpzI
4e3dbR4b0yWaZ/uByQ42Q2ZK05oCx8RNXyVxeS5FMF40xtEF0e7ugD31QxRMbl4d+py1iQzHgftD
zwKNJZ0Y8lPZ0Eq5uEeM0vlOLzXH/WFkVTqRx6l6g+FvoCYoI6yV6+GpGniTn7SiVOa2EpFJxG1C
Z33mvRTWPafltME8xQ0XVivTCg0wdaFYZoJfctBL/ZjFd/Bgo32tCGbEDSeD54L0zWdEJBb3nVFC
COi19xGX9rOTiKbGKBAlj8wB77qpqY/Ia8JdVAb9ZzbarLfaPEi8OCWiRUJL2Lg4GzO1cadFmQUU
VhLqVOgt6Yh2dRyxlJ7xSOaFQavmTHdRmA7acRrLEaBIqoXzk4YjYwE2G6ZJuAtEZZtqb4Jx6fcD
VsiuPhg6AYArjSsd6nRNbuAIuK14jBV8ChBrzHz450RAxxB381+cCCh7Vn78fz4R7sqmi/7H/5yW
3ec/ngy/f+HvJ4Mrf2OzL7mdJfN8YRqs/n+fnXGp4uwGwU+ng17oauz+eTJwnOg6wzPBycHBopi4
/X5ACPs31zJ0ply66Vyj6v7O7EyoP0sPhOMqgbnCMhUSBEZ11i/KG46sqpWTMm8W3Rbhso9xe3aB
T+tAJdveYg6kCM4V5BjmZQlYUEHDr5mZxPIVs3MaKu0m4LVv51rLd+Fc07WVC4OBsDhEjdWfnHpU
Pj2lPJd9oT3V0Pg2ZRFq5w6frwcRTT4R/j59wGbYEShaJtreqGo2iG1Chddik+D7GTuTBBOwPUNg
EWTDmJvXzeDaDg9pHN1KCu2T6Qq29nXwOC71PbcEOz/Eshj1jEPdVpaHNjjdKEZ8xKAC3MI/F4X1
1942wIwkFWKKoWHgbhXzLaQxuKsg86ZB/xJpMvbqrNW22EQJ79WXZW+vhCa4uHutsItPbDYT7LUp
LqJMbOGM3TfpLLZamAJVMzsL43bubCrytQ5WLvn5OStO3inhd4XjHua2Z4MXAp+D0rocKjRcG3SR
SJGrajiEXYKQwNU3dZsuLNVjw+s56TEvVNaWeFHLD2PNXnumCVhi1p7SWN1Ghht4hpVf2K2N2440
PzfvD5UYEfmCi/JmF8G3sCCam4G+R+9gbOxo/ghWDTlmt/4SEGH8jgB5P5t7kLW2JreZ07/nretb
05SfyG+Nz0wG543Fxq9cFKqJrNrZBOb5+CQgNdtKebUtD27gnrqZxD0nZYETL4HGOCYuPQsFxbYt
K1TM/TTtELYy84AVdjTLKHmmal+OLUtlXylAY+1k2DuTrZXfTroA3wfpyXbC/dRLWGOWFFvXSN6q
qRJn/DrHuQgA19tW7fdtQx+ahfvI6pXHiqbGPaVt06R+Llv50ZmWm8Rk5xMOUuw0upWtoS/RXlX5
58VO3pAjin2C35D9EnskHbb7qTbdbwLylU92ue1zTTxn7eTJkUvCacJHIuLKXR+Sd2Ourtc07Kif
DVb7baZ7RmcfazMx3maxGJu0wdKppe8LrRMDAafa0nXNh5VNvlmWwgE6w7UQF0ntq7ASh2gR+EZh
6G30jP+WGs2L1pJunqop8GXRYvkoZ2J+CdvdsqYWO0lE9y6wkg+NKcNbBhH5znLeQ7fVT1OIg86u
pPZMRjkZWj2YSl9lcXwh1dRhpyd1L0lXE3bsNs96gWGI3UB6WZQj/LZdbltii3YO4WPkS6P5WFJW
5Lapq20xQR7oTE1/iGWzbPUlzbfQHNnFIfbwI/IGvFIl8miY5KDFoYOz0wxxiAzmudWIRdcI7PiA
k5J3kVEX/pkE9yWLOd+Ge+npdgniwE70D6RBsh1nA8idi5i8iyqevP3CvHZJi6dUs2aQTr1+Mrp2
XAH6Moo32GjoJioH83qXS7aDrB6tGRk0L7W/UUhI+YfaDfsSMHepvNNE+h4PcOt5YCPcqHma9w6y
IYVV97ZaWvugoowKwNK/s210WLiV2DcHNCmJ7J50mDbgwiQdworlbeyLDJJ6O+oW6m4wlAxQMol/
e+qQkrhf+i67MN56CIz+ASgCMfRJTAZMrH3LqWF22OPOTadu4pF/jzZyP0oszQVxaju05zh7gEJi
fqWDZDmMb17En+syHBmMLU9taU4HNYD9JtRbY5XcdxtYCfMqyyE+Eh7bRg9lczubakel9tmtLRBG
QIcYzrX2E2KskAbRXZfNns6ttsfu8W1gauGphfAzu0msvZ4ZxglNR7pLMnPYQvpqsbOmlT+6uXOI
LP0esfqblO1NEork2NrTR2dsyTCI5aoRsiTBoHHx7LoD7ReenKqi0YtGZNZB3G3GMHs2jf6sRNfc
VY55issmJwmyzG4zJgMguR6yKMAeZUXOBv/fd+Suus+AhvC+pS/3QvT4rWwkaqjishuMQ81eTA1j
BytwD1lC9LoVMVh03GekxocSU8l5kUm/wxxX7zonYyjt8BOLZXkmbCB+aFN5kxg8hCYtmJjTudzP
Rpjtmt62PT23WTZhmpSop8/Mho9hA9OO7DXNCzvm6VnE4yXKa/mapdPLGPT9Qc3qa9mz6sa7gv3S
7Mb9VEzaDg+NvUGA6N532fCgo7DCxy7WFz7eVgCzN51tgoQiYjVZyu0o491Ux6PHgYaVJ9I+9W6V
eKTLf7XiCrFV1vdYcpeGsyaGR00qw4HzNz6hzBr3ocYpx/oco8s6LXNQ0exx+9m7UI3WziQudTOJ
ytiHKvk0Ut0eF815ngGctylaClSH3y2tUqesyIKdpvASi0oaO8QTIOJErrMHXg2PSGY8xrDBDkkM
7FdnXqzinUlc0X0QcRfAYg1ZhLnFYRq1GD0HtnenHD92MEcUt2It24S9AVdf7twHduNCQSMCIV1v
sjLB2Wcd2PhAJ9uoisXLB6uHFY87fJ6blkRZuy05vVOADNUYpzTrgX1hx6dk81oOuAWLEybdVrkb
9J+0bl6RZDHTAWa7zdI0/4C1/4/ltb5irv9Lef1t+Pz1l8L6+iU/W+61r6bRBoh0DSH7AxYJ6tW/
5MWCRLIVGKSo5u212ab+/dlq2/wVu2tQPwJWEhX636mkYXn/2RJA50/+F2lpV32x+W94r6gjP71o
KutWBa3CoyNYClkGYi57yRhicrPX/lSVJyBkSK/A/A88G0NEoxLSaW+29Q124N58saMlvSsJsiXx
dULvsTGrerL9vhEzObBieOnSvPG7EAUPA0Zz2tBnD9i9u4RppwRove/H2bighi1fiyEY7hdkIRNu
n2LsGS6i2PFqztddnIv0oCAMcK+nQ+8pskX30uUlelWUTCn0plJAWZzx7Ih5VnIXTbCmD2DHlt5f
E+zfoZ1Qn2dzmn5l017fx6E9EOkz5tM9C1Ugo2gs+d1hZUBkTqY4VcdybgQiZKOfqj3hFfytxcbP
XC1VM2Bnu56PIVV14uf5PCEw4QWWZxEsbDkR8eTWo+lU5aMrkvCyJOlwX/MMwm+edT5NuxNu6EWI
nR4bdcjdjClEIkpAHDHxSQ+N06eFr4lm6qpbBs0fuqoi14kH1I/mOjDsuN/ngRlaag9+DsK+amKd
hpwtXFPom3Tt2q0fHXw307uL1ij7lNVpjbcyQWBfUE/ETqZl06e2ygRL4gEjmddAnuN5iuxgmO7S
H1k1IPkaF+Je2OS76hpog9LAIt3GvkbdBCzoUEHjUB03dnvNw8F2qLqbVteGyA+BdpOao7ejERA+
xHrEr0U7rBcOxqplSmwwyBMSNI9Ibpxbp+5Hfg9O/qQjzqdp22Fccp5b5tgaL+GP7J/pRxIQnsMu
5+H6IyXoehf/M2H8i3kChqb/KsOh5y2+feliqrw/ThN+fNnvZ54yflvnBKtRxqJlZ231r2GCsgC+
2QTpwUYTq0iHc+7nMIEjEC8m9gE6fUyqq7vg5zBB/w3djrQdAn4UhBL3b4UyIiX98xEItg5vBfQS
FDnK1hld/FmIY5szih+evAcafMM3ozjbRoShbuyue5ll+u5AT+CSX7oteXzuJmVL5k3TnBJ1klbQ
lp1nZ3DSE6Lp9HZiMD6wjITfKslVbCw8dehtVUKKGLgchIs9sH1h5bpPwCnCM6eGFu8CQHNl725I
CXysgoFhGlUhRH8n3Rq1QgBp8DOvPtiEPeRG19lLJmn7MmTuM2690qtxt27gQL9LrdL9LOefpwBG
N+WgmmM1NC8GSbGAawfLSxZb2+aB+qiN+iWxjPcB/SVfW71kZfy9DDsL/KqCQyvNRxQ07coxWDeM
YGj0pn6RxsquQskCV5pfr8B0vJlYF/usZI9N4xxDGFmESfHWDIRbhV1uUTal381Uo9+UvJWl07S+
zo3vYe2AwJKGH/gVeBt055gTW+GTCYW7Quc1DJXQtlFgEisVsWpitlntSvTq0EpgYSOJeVybgu36
lSz5VmQGaG3WNwWTCt6CKrNYtXXG8hiWYPqRF23h2fCZhIuNjKLm5Y8WtvCaFwRdAwbEAke1RacR
KDAjbll8n4uaQB2rQTEfzEgRrlQsFkBfYCYYvA/us6vr3RYVCNRgnX3z1TNP4pGzpgeYsHDc9plg
8hR/LTh4hEIEMiz6cgDUa7Hg5IeOtoJVrTE94CLBK+9Awv5/7J1Zc9zIlYX/yoTf0ZFIILFMhF9q
Ly4lbqLEfkGQooh93xL49fOhJI8lukcKz7PtCFutllgFIDORee8538ExUrmMA6KdkEx6cL+F/zB6
+L8RLg3rXKjbIeZLhUlqH4mg9ndmQr8RVrW+cIEbb4dqGUUdf1b47iluAVzU5UKVG6Jk7QQOAWfE
6qz6jISvXKkT4/mNEHZrxabDA7oTv1hYZVZy5p8gRlOmMY1iM3ZeCz+o5O/ki5rFhL4gXdgMApHy
ummbz+fnnSNrWA0Zwwr/LbbkiCHj+iiKSuhwq56tw4UwwzcmOaPa4c96EaPTcxkqEOrjdQjK72MW
8Y+Ol7xYJl+EmQeRi3LVCUPnEUbkw0Sm2HasmScUW0D1wQa4Bt1QrcGmfMbmXK0dlyfs9Qwmj9l4
vhlFxaQAMYfdNM1fILYAWhNufYHMRm3RmlToYlp8m4Vv3lHLg/xUjWj4F0O0xYt3R1b24twt2R4s
3JVaDHyHMGovcSTpfYhV7IrOd0wEFIC9FNX+ehotDr+c1IieZpQV/Es9gr71JBPVEiwE3oBNJJ3C
bAuU/U1kQ3w7REhclullJdBlxEKE0DZMnL4ExVz2WB9EzuMmjT6F1CsKQtStFGXeMg1TgjTPz9bI
uXwjAM8wcNYLTYZAUUERsggWWp9H+ZmfVlaNv2/JR9iSMQbXimbxZjQYzucBsIxwpvgtkIhib02M
UH9gftvAr+GA8+i6frSYBwwjndLYHhIzeK6W9qOKuNTZ4LOK3jQOpAIM6OXjl3haTPNm+gY+isKF
xewRVCvXudXRUinArYkGSzn5dfqktCLIJHkxwnhaGS7EwCCV6TZzmRH0HIzDGQdUzsq8mgho23Ec
wn+S48A2Wp9PLxbPapKjFGdxIICNfCJ770cZ4AP0hKAbwRuy33HWboesumnALdSybY6jg/fVLQZq
I3EuDqJU1tbIQhbF0GRxG3l0hpv6+6CXt5EF1xh5CEUnNjx0eOD9KeBEawh+1G56yqZMEWjTHisY
NWnr29okfdor50k7xBB9oD488LOjG0WOyKZR9i3GNOCFAeHhijReXjuILSbSznetQ1o3QGyO4jV+
bO3Yms52+ubbilszMQPO99rBMrBJUWndQIzyd3ZByCJFGwjrnmIJRN6PMsEIbqQ5k+BX1qQJBPVb
vQi68x5DT0BDPIxZT7ADxdAHmi/4A9QWmANqotp9zAm4gfAd3Rhjf3LLLqGh5oUXU6wxzhuIQ8yN
Q6TjVqZjCThRG05PqZlAeZUtqR7sCBBaemYL92BukheJnmhjQkxWa0TzD7BpMmzAY5Vck23YX8Sj
4BFaghTDVRCalBQTUSeLsLO7iULbQWDvmJAJd02rB7BBaYdaafKbdjvbUWWuHXrPFxUtMKMry1f4
/l/sGE75KrR0+ubVFnRWVomZBjzL/3joiqbckX+m/WrVQMZbV0nDnE9symghr6KNNL3g2h85lO8y
RJ/ticRezz2i6iAVvUOxYHyeQggKUR8O2RWcSqtbNU1G3Q/EQh2f1ODIaRvKIgAO1bN9iFzn4Yej
5803C/V/FX1+U6L5av/+N3ZIP7m92dfYjoWv2oHDiyP1XZMk8w0526RnQFyZJvAs0Vuc8nKxCu+h
b8Dyq45ZZ8eM9F9/7uIi/9HQff5cm7AmyTHVtcS7/RSpuXhuuqo/mON5sWMOWnH6WlDGRCmbvv36
0zh//+unufiwpW2CnF3cwD/KqOcxNGA5FP0hmxggy07ARxe2DY1WfLuu/xwCfnMIsJYW2w8PZfPc
Pf/Xt3rJ6Tn/+ve/fXoGvV6EXVn8eAj4/tf+t/Lh/OGblnLYt/ts3Bdh/T9aikSzu9+PBjzdfxwA
lm6itG2f+sm3sLF/HgDUH4q6iEVLUUIMwGf979RAfh5ANtZqmAjwSiiFCN7P9jKNfmAzz+W8oPd7
h31WRroqntseSXOL71OPdfvnDzfmt3Py/GHEifkceWBc4zl/NydDxWvcpehyGxkAggub4IiJjsxj
GneNg+BaVE8hQdrPOOeaw//jo5mNCD4ceqeLm/3H64yN1ARJZdq3M9WSp8JviC4cJjDQW7d3zAfL
08SDtgLvF/zOGZzRrz/+51VhuXIgDzjlF88FD+79x0srhv6VZNZtlgOBpbCDP47DE2A+iuLLx2ny
dq9+/ZmSYfrD4vD9QxkqHC4xcbnvl8CiKoI+rDhUkWwoHwoWy6PMHVIMXemTigjg6wprFB/egy5p
91HXd69O1cb7zIDeuq45Fu5BzSf60BoNQalQw+xnx6PstQ7Q5ZqXA6x6cxPPZGCs2oo8pY3OCsv6
jdd+sYL8c0X9dhkOhJEFT2AuwpifH52Hia7HScB5rDcYK32GYTXrU73zaDE+ZPFUXupUta+/vnvv
m+zLE2OTgOkFgRB4hHcDxjGEm2jVmLeJOYDeNeYYBUoRvQmMY7eYw/Sdoqp+Ui7oIZLp+t/hzP91
YtLrxqTjOjRnhPd+rgy+X6ToRUzyNxx9Fy8TZvJ7fRMOtXn69aW+Q3mc7zAJB0tEPXx2Vy1moR8n
B6zLrkDVZt7i29Z3BqbHdDfEZpCtAstqX0lSsZ8H4SyzU0Agxz7BZDESF40RgXe/edx/deEW0Yuk
Li7OoPejVtpG6dciELd9VzNJbDfIyiv02mJJDgcv/Otr/6tJ4rLsMS/5r6sWAcmP186eS8SGNcjb
pu1AlCBpp+9LwttlT5LLZd4knDCHtrxEy8Aoh7VqnujroCknJ9AYVyYNnEvDGfRdWCtNLDISkKsu
xZ5sdkiyomiAN1RMCbNMeYUeLwhx6LPdry+Csve/TBGXPq0tTHIp0VW9myJJFkKGmXzzNgjYGO5m
t2kO53FDy7R6aprcgLM2su5N3MDcG33QxMQAronhqg/VBIoZRZTNJnge56zBVSPaV68R+u7X3/Ov
vib1f88mFsG1qTb9fK8NgucGTKPmrYLIRHd1uc1m1cCKF+Ct66z53ciW7wcTKh5GNe9cUCTCg1jy
8yfmXSgTkU7tLd7M8lJ1uXoOfL38j5XQFxYL28pyWigHcUCMLbUuXCfjOPn3MTBV8nCQz75a9Jhu
EsDve45q1RPgMhbOZUycb1HLW8OBDgoTsB3c8hJrq3dl0AQ7SpcLmqe+vPz1beQK3j1vXtbACeiR
wGGxCWB5N2hngNpuHU/hLb1UwM8V8INNQnbTh9rKpu5QwMEc15iRaS9IZWTOOh7yINr5URjjDOdn
CyBSFQdOMt62Iu/cHeRcUD6R0/Zgt8xwWs7OCriIsGbs3SIajY+VkYfdRriQB1djOEUKnDtu9Q01
RWZG0o79llcA3ro0Aa5ge1VxS0c8ojiQJ1cy98rTkARuvfHKRmDGkBjvydJOP5jllH2Bf2tuMvYB
YNKnmbwcguKiVzzcEwDPKSo2ccf7+0L4iroIaNTqphYR1i4dUVhaktfEBtSVV68G1zWqx74AiEUC
gOveQ14gqK9GJu0sbAuSkXIVNkDoHH9q1sCqvJfawGiwLvK2S6nDz5AP6r63m6Os6eQfA8+0r2TY
A9KqAM+iAfPvp3Ew+7WLkaC5NUbLtDFHdIVC8SMxh+Wwtyt4V3nWEIptR8HGS5BvhlHPa5e6yCUR
p0w5B3/dFpwFidFsDfyta3bgfvNSqecWtFm8LjxWG7aALMRDxVsAWgF/DSIlhrDAKgww00S0gxhJ
MvcKulXa82Y2I9Oj2Fn0wiUIkUSoCa1VCVRBc95E7YXfhvZHrL2jHcbRaUj97otXpA48AUIJEU9D
z/CtPDw10m52DU4eJKnV0whw8DOakPhCDp7eoMySLxOnybWK63ZP6TbYoc8s/8z9Vn0uYdGvaqeK
Xhko+mvYB0m3mqOw2Iiex7OOwD7sG/Ik0U+5HP8xpgs83UGhNVQrwwApU3avNg2TtUa+WT0YyovT
y4GKRmpfFEXm5w8unRbhMwAyYBWbHL0WJ6xusl2QKAucOpD8vylHqagX2LFhRqsY371DVmJq+tVn
A3SdxddNk4IU5nrKvZ0hls3PrPRdmabcadDo5SVGSzZDrOD2c+2NS8p8hiIXwkaQfdRGyxObgo6X
wjSRSDu4PusKkQjxPp4YlZS4scpTfqj5GTh1ITU3LU/WgcScreIEM4IQoLFGn7LUUk7m0S8pA4Tj
hre9683dep4c+zlQI6qQWLBf7TKP1Sgf1bMOZv9xxAHz2s5QIR1Ki1cGVbEr185R/jZRTUGHGepR
r7T48VOt+HKcOMpLtnXBY+9Q4iGBobyk4SUf8Gcsfwjq41XXDazPLGcBLFCAo0TLmh2/E86aaxpI
8DxJIfgNamgAYT3FzWkkb2oABRZ/oonM5NQXNUsMsi/vKgRhfOW7pb6TCnnFOjZYUc9rJHs4wjEU
L1E3qZtDUHrta+0vt9JvbPOhbXt+ef62OdmQVFlqW98sGHSsoyqm/Xjei6SZYzcfiBRoDmE4EFA6
80QGm53hJEfzYTBnfwsDZrrrY44bVpZAhlwyiKNOgyqdlt3jJLn3Zj5xUUxJPimNhvYVvLe+S5Zf
Dc0ijgkTdp8iHdSzl/EWpa8MOjvjbXvOrE/SnN2vjtvp7rxRmNOa+DCdZM6z1Ozvkzbj0dZ8GS29
5NW2sBSST2NZx7I2xElETGmnDMSJTC0CxhlGPDu5fNuirHnxtGVzIPhL34lEsAkvy9rfKtowT0GP
Y5yyjzSabYCo8tlpZ8CoQ+lM5RGrP9984O8MqxLhsr6qjYbklfMGp1+2KumcdK/fDj/W8k6eEj8h
c0NNIDCIUaDShCqjtwk7nLyrKFf2c+RiF97z2uELVlInM+WjYkyQnZoBXIyIDy/OU8gMVKJ3A0Js
tkG8ebpNM9569ti+Zn7LM6oCj80d/+iHJi9gUJGsbeVyVEkjMjzMCfgjy4B1dHjSp6IF1s/llJeQ
9R2UV9i8Vgg9+LZDTwwu4Hnz1C3DUxWZeRJhwpuJHEB+cjKwXbW9ZOqvK6om0SGPAs6AplMwavto
9ohh5D9XSEsYwJ2dcs860/Mf9RC7cEu9GppRLcBXSor0iIEy9YyVhHuqK0DB3xaBFPLz3RSD5qCS
TvCNMynrWMNAv6yc5eNzWgjrZJn1WWdWT4Doy0s/5Kmy3a8PdWDxVGNJTSrjRc59gDZ86Rdx8Gig
ILyBdus8N17HfBVZniMEgzwDE54Z3zQt3+Q8Em2dmO3lGLMEKCzwxNOCyoBQEtZhe+PrQI5HD4tQ
sEpqm6VJYp455I3pPxLDoWlucRylbEjeKMGcXs8eSI5hfj+JRD1bi3JSGh5nABjqvJq0Zz6MVsNN
tiRIHOy/iU8YaOwTYBpWTPTaHPXN+Qp5E7FHJpACdAfpm/vzgRfIIfHfpsUUDTmixizdZOpypH3o
a36zpDdqbSlOk+XtjTyn847x/NqcZiJzN1UG2NPyIq4dAId/VUjPgDom803T95xklrvWVIP2N8lo
ZvOmWb7OGeaaxoH9XPVgU9dFFGI/A/N4J+YJ+axrzUQJUsGl9tyGLEdxyuSigcrqGLUN5eOIId8z
wAOsFXFAgOc4uPVhiqntbpXfZ+pON+MC9IXINq+NRqhnUkwYNfxp/7HQgmNr1tvHlPRIKMM+kO6L
HPgTUYZ0+up7cHMjQyRIudHz8nKJk/PapyVK6zI0WeTZioTLkZzE1XnBa5eX5xvwbS1aDu5DIlkX
loW1CV3eOOexG4Sa1xpaCvjy1EVfGl5Dt+fxacs+2CcUAvZDUdvpNR1AhognejBbKh0uohCC4/cB
kSPieqNBl9KKa4bmQPiqT+m9Us+hQy3lPCocxCbzKpWBeXJsWLdmXZinRC3VhrSFeEPOcWHSP1EF
KxF+aGONu5oiRKNIS1zFywUZhPgs3i/imBp75N9NbIQa/NDSPJk2l8CQMx9U5ADapfjNzMKqzRuG
Try1g9Cvb2gVsdpbsfkBBud8y0mdQS0A5ve05li0zyugnSLO2ZTgU/J1FxjL67tLuEuWOzJtlhcQ
4uuQqOl1NXQsCqg/hoB4B89nueqXb5v0HdPMqic+N8T2dZeT5eesKo5qj/Dr2PipkOvup8FjdEu7
M4jBbfRCKTCq+R6QeqwPXT8U0QezTUjGKlhGT41YtJ/KA3jLm79ktAuC6JuHTvVsQkIj9R8FLnP4
1Hq5Xtcfb+xeuve9p/MP0lKo4ANjDf6iPcDuEiu3YWUnQil5C5EZrVwyGlaWw5F6PZSAFyzN6zEh
YbJeT/E4rztKnj47lMl5JFeS+xxXPNBSjTMpUX1i7UThkS8S1iWG8YGQ8riiW2EhrzEhIaj8yMle
HwqzKqZ1VpFAEACLffN1tgQCSM1iyCYzWDWt7Lyt1m0nLupl8b8APEAh0o/IGc97GzuoRJp4NEpJ
FYaaTb+u4QMZ90Re8XjovPG/tW9ykyw16xsqgOPKswhQsJpl8a8H9jj5sqWrI0/fIe1mh6drkEmL
T+p8UE4B/16Ols9U9aMa+rlo+HrEmVBskoTObjBI8U1p7PDzgoh1e6Zjn34t2WPydvErf5ss73DT
SIJHmt2MoPPBMBRhUV1kWYJ1uulY00pMG8El9TQMvFFJoIIP5nmsfPMUauU/mkbXvsqZJoVj0dfm
DMZzLRzJ+7PBPHno85DVanZi+YC2IFuf103C21kcfV6YuDmwf8ls2W9WAUhrAABxvoFRwhqNAvQp
zUglLTvWvaZmCnUZgycODLQbpdo54bIyz3PJG4izXXQgHSD+ag+OaC9V1TPjOgMdqEpr/8r4tsOo
qZEYvJlzNFb2EQ0TBm8ObLo7tJxvaD33zb7s2p5ccyk9ziqdehbpbD54nknJTpEku6bOwy1xE0Js
8HpKThK5w4vFGSbnAYyhs5lr1zpWSjMf5oVW/m3LrET+5mD8JxG7yAXk7xy1qjN1cscnRw+gLPVH
DabkKiJS/WOFtH/TMkNYnTntEJqVSZwFrpMLmop2Zdw0hlNqgoH9wttajaUPOICNL2RDqNcEffpX
LK/A1DLdst0egWGyr5JULlpxRc5TCcHRGz8DCXWaTR8EGWLfGgPAFkR3faEsHZ9iF6lAmDjxp7zq
wnuHPb5e9zlEzrRVYg8jZjr5VhV8jGisfinriZ+kIAC27JQLP7yZC4MTKwSmEYFsJ2jz4oB1ns5l
hf90eH7T4TEt3F4/VGD+pcNzeB6f4/jH7s73v/KP7o6y/6DXh47LUlQtqVP/s7vjiD+kjSuYjqCN
1suiRv+9xSPlHxLxBi5TamF4WT0q0N81Xqb3B808RQ/REu6/rfFS76pF7JE8ZXPOkg7dD8pvS5Hs
hx4PBYtsTlQo79u2qqi8zDkKUOQSGIrmJdilsqliIPwi0M3lHBhFqXEHQ2zaFzZl53UWE6KAXwZd
kQiycWM45rrzjWqrNCfVVgh+jmMsibQcl+ObpKHNCeuWnW8ZAarvmf3bCt3UFf4Sdl8+bH5oreTw
yAlvSmLNBz9E4xIR4PN1sbziwLZHG5ghDHddZFgno7Ybn31erc8uFvuYHjS3jbyI5ZDaEKG9g3/K
TJuIjuhllDx34TjdGCm9CY5Z09OECJwiWZi6a4ve9NehCc2VROuJyVyYt2Hk3C6nWwodWSs/wriY
02/N0y/6v8OvhLdnBP4WPzajz0XrH3oYyyNwHA8DIHooyize0qr54RHks20nRtA693Nj+Udl4aNi
D8kmwQfSixlX1gvhQOb+TelW8qoYJZdWOV6JHiAVGOyjZNq6roJ3OPfD9Ryo6CR5O5Izlxqfilq1
mHwNQm3iJLnuEX1FqIoA7GRZ4O3DCOFY31rlB89rPnJCVwdVjVduOMoHGUlY4v4rCv365YdJ8hcX
fWZ4/XTRVHmXAYzFWhDW8b63CInUCwNRFfd2mQdP5vL0w7I0P5uSM7zhiubIPqKB9jMiqQHXIFe5
wercIvtBSqjFS5UCzwX+OOoPYWGnF2NpYWyZ+FVtSflVVqV5CX18/BDRw7uyCCW/UV7wGNpakvsW
Z49pgcTF4QV/IDip2EdGAyVpsJzNhFN0O4ucMW11YrgUs/VKeM7V2EiTrVigDrBU224F63gTow7b
aoVYSlR+tFPxU1b5yYVtl+MXrNqoSTpr/FI1gXV0IZYcmo6TUEDlnw1jv+vw/twxKdOTO1D5Ijky
PqTWqwDC0aycoHGgIyNKvPRsHGQ4s3W/ickOXPxW/l7MqNwkQdvIcTifYNGGmtMVcXKdQ04hjCCT
n6auqL560Fkb9HwNG1wF3faAndncFVHbHuh3xpdZ14nrYDkOeYU5XPMa5+KkhQBuW0dzcpgaVGrr
GdLknUGl9UPbmdxQQIC7eCa1ZlTL3DTSmTbx2H4CUA3zLEzDK9tufGxIWv+mJfVuzaI14OGIpNtn
LY3uRaD/84RZkmCDcHANkMFivu38viCbtM0egSoQR+KiFmX/yNhpyvkLqNl53XakgBG6NEWvBOzp
U4WN5KLuRP3Jre1qw3kdiIlXfaYei3Ktd/KPec1PSQfOF6tksIp9xrO/KuFMr0RHMk+rQo0orJR3
WjQpUXUTlzqd820WbRfL1bQbbCWXBbVMLxpVdSZyS0NuY9GDrEs0wnHEcvPtedjCKUHfCLP3uqkR
bJlVGbCj8MRnz8jbTz5n9k80GWvEijGv95y4vGhjWUX8Uoh0X5eNQcEGdHiE9bJ39jZHJnebepH3
wRN1OW1/PXXl0hf559Rdbj/qAo/4MYfeJ1bnd3i+sUaZRAZHcCcb/Iabjg7zampq4z6Zfa7ATACo
OnVrPCQkS0UrRTOhIqIKSMneY9syrSzmYL+SWR1ceBQ0n9PBaWDT1GMVriuzCZ6wRnAxgv3qsY57
4zcdsb+6AHt5vaKM4b2Mb/Tn8VPMadtA/XHvCEbotpRE9KmG57OrHc6QK2xLMxGrFAOUdFhiighV
MFLM6pkNqbo0Ryd4Y+6hQJRT+Wxp17xyRo1MSVY9Z7/MCx4o3XEoiKDKer/RCpzfx+9uvo2G0zQl
7H1JR+/n7z7mTdzM9qjuwFaRRzECGnxjNAfeAY0p0LSZvJBEt/pDBhtu31H4jpEpF84RZOdwUebI
A0dfNsdMjc0R2qfx0Dm5v/eBiCGlrfuC4JU2vnIl1z9iuSBVC1jR28BrgkcU2y9tMPZHTNPeAJeX
Q1WPC7nYu6ipUYKR36NlwzLU98EnMDcJcF/Du2jjGjUp7ewd6PNwB+xIPxGMNO+bcQiO8RQ1C9O8
8CDnSf3VDFvWK5nbBgbYSprb2ap8sNjpi5lT44SNXq+stKqOmT0ET0SENUf2BBwal6kX+Eb42gQU
8LdOym/2VGIuZt3IO4SsU49QDY2lL+voVRA9uUuQkz8x8oavdpYvK8hya6ABXfRxMV/bYpFf2Dkr
XxUDgCP6Jn0QhKuEKxuZ9WdoSkST5pRRw0gf8V6Q70gbaQ1zTV5FeoSE6Gb6lJiQ8X4zENgkvp+G
voUEyDc91uxlO/hu28BajdAVbsRdlJkdGbuCCbY6r80ZPHaCxGsCTaljUlmiu7JjK1Y9O7Kbb+FW
luk2zNtjZNQuKK4ku6jjrB1XEPxjjvxGEuerMCx28KyW6Wq64mUiGOsjy3/3Ikd7+NqTnG5ssCLk
7qaNPGpKBduxawBpapu7YmIc2AWVA5jlQbbLTNoxK3/GtO6Fht5Mc+UetZ1/xF9LQjVtiClbGzLe
+7Vj3FpMrHHT9pAOazwrt4yvaNPQaDrAIm/39hJngrN52XIuzxXXX/ep1elBGSlJPJrKJ7X36ZNJ
YWFjlZ614vtEOXmbTAhO1QzWRLYEqeIG/GLRDtk0w5BelGZCmJif4Yh1rLnez7WMymuSBG3SRfs0
euQ9ED+2RkJ2AU5DHLllDEyLUD6f01daO+GBA5rQqHVZDVZtRIPL8F0Tytm4bHCosFwIT/OqanNn
08xLAceKEGp3OkLX2vYpS15Wttwo6KL8Ouh6psEUAVJae05r27BMAJiHYdceA+DNNuS1xHqJiDKf
4Fs7VXoJsnHZ/vjTLaWM0tjO2IpeckKQQkp8Oep5VnaxNorZvArVmF5MDASPzDMqzYY9RfTrTMv6
bNKh8hhP/XxL8S7oVyZql7uGveUBQjodX+zi8xsdNO/o9bNBXTKnfeo5AT5x0czjFp0vEdOIcUn9
aQIXkTjtnBWtQKukUoLXDf2tsVJVgKHXmrM3VOp3YFsppCq2rYASUpJisjHNT66bRzcyd8c1LwOf
O+NP8+35dfafk+1vTrbsnmwOe/+3Y/Phq35ufzzYfv8b3w+2vgUqmAg831zYvwhq0Rn8Q7YonD/w
M0m2CKb87lD6frC1lgwYTJXop2yUHnI5F3w/2Er1x+JbWhQg4js/5d9AJZn2u3OV4hWpbE7OiOuo
riy8pJ9flaIzjKEuS3EcqR5/GgwbFHg2ffG0zE6zadTbiF0j4royvXNH75oD8PAZF059X5VwTUTT
XvSTQ73Gc3kTlL1xnIg6DEiMSCJeK7Xx3LsL+tspRX2wPfIl2F1L+iiFq/Cm2HacSvJU6DW5x9ls
PHny7VmUH9uslnhx2DCXFoh2vBPXXtWgKANhTAEV7zk+gtym5JUmhGvMqB7p3lCSrj+S4EZA0sot
8sy8gDjgIEaQgPm2biTsdhdRTKsuOlr3vLaTIuXoxet4QkjASjWbF245yUcb0XidrubS5PzY2YH2
9p50J3XsqcyKgLCA2E0eAhrt/cDM5wWziUpFylUReK9LIdDdzLLVJJg35LsMDhMdQ8K9RqlebTq+
QrtPdSkvkZMhGe8dP7oMeAFibOhI2djRakyG7UyopIfYI8EpgX5AF3EH9bawugM0Yw+igqeepkHZ
VGvD6MC29z7MMurruk+ua1ngd5LjY1LGwGM6XChm7gOOwW2CFTYPo0+xjtFNTEN8dD19XdrNZTT2
/SdifQsYEe2NleuIDv7gY+EPnS+dDsZV049PVELaNeiGdaqtI+0Q+nswbCYACRcUT16otDdbK0j7
+9nrYfxhYt333FLDKsqVcqtx37qRu/NksUdEeTfM8aOTSXbycXc5t+W48tPwNEe1u8777qnMWxo7
ZXFIaUpu3NgC9M8xt50qQNeVMHc0gxHw5yWdkvSxoqOOZ5iWUJoPXynNO9fINYOb0S8dtKnaWPns
uYAeBHTt+3RvDwTU6nn4IBOOtNA8lwwECsM2/LorWsLNtddxanWVLY5uGceE9xI315PLuJ7b2nuJ
IRfs80HFL/Ao9YVupmlb1cq4o9ICFzUJvwZWUH5QRnevuhhmaz5le1Hl7JcJ2DugGXFWfQy1yyon
ZcCk5rRLJerIuhDt2CT5O+KebTA1hr8fnJGCeZofu6grNwFrxyoN2YCtAx2/lJZdrgdV5KSqkxwO
AQczV0lSEfv0aa3ocq6UgBFqGoB2PakfTIqjK3rkj0YWHMGujKu8rWo0/cYnNQWEOKc6uYhq5a+N
yo7fKLc0f/azS7p4ByGFrhzahhoMDQ6N9Ap4CphjZ7GKQFCoNxakmDeSbwCLDJSqFUdxT4SbJhlm
iJk51GOZiv6Ofufo3mc0im8gQuXF4tCOF8yFwz429raBG7jt2sz65KF18m7dCUJv99Sv5UXR4yBe
T+To1hsGVjqvgrH70tP0pSA+DDd4gM31MDAsQn/ISHvFcPlKrKkQ29C1p4u+i4sDXfNp9PcdQ0uv
0bWwLan5toTEt2P3Ztb1iF5jDKqdo/s+epsSNEUrpH81hAdRV+MJf337BEJuHCQVN6i45pCLS9Cc
+Z6UDEQ6tSH3QpZcWTpS2kgcKkUlq4TGi1OK0NgqCw+6VbFVFlVtbQN/zvbYxzmNePNnbdr+oxtX
+pQlxjNT6pOcY6wwKBtgInUXnVHbp0SQ40k5PrksjPg1aL1mE8sqfkR3iYaMdKT4WmI/Mwm5nK3N
DIbphmPXxzqTbGpQWi/Fy6y8MP1uR3V2uEIFUN3Zlm/cp3brPstcUS1M/Xo954sDrw8jpjFoN44q
BAHvpmwS104wlQCX8AaFXdedsjYqt/ycYlcaAufIMmtTO3BuSYC1ODQqvTXqDN4QZI8ssuNtPLWH
0RSRZDs3L++SGQ1T4BS3RBA94XtTB6h5/pdGtreutqNx1RK1fCCp+LND+PMqRkizldZwtOk4b9Ke
7RnCg6p7C0rb3iZGZ1xOvYp23tCbm0IgHqG8EdOS9BbenMl64E2nePSI0zTEcE3zHRPY1LubuNCE
VLQJU4u2GbhUCVLJx4UrKJjQwF+IyGazn4ywYQ3uruHbuuvZQlHhU49Zi04Xxy61FZykRi1hM3e9
ByUHh126Le0cDEdf+oda0w+caoDHwM3XpanpNDp+/mWqSqSFC5sc/5uxqaCNbJK8JFjeR0H+4McJ
WCovnfDAA69uu/roG+w7G6N607X7MY/dcjv7REWLtuI8O/k00im5baNCQ1rpcWYhTHkdSOPMuqC/
NPWyZyfFZg11tviAtUJcSc2DLcSU7Dg+CECAoK1IKCeCuMLgPxQFQnyMVisieKdVj2qRA2nKelc7
f86zgNMDDnQbpd2fEjkYXTDEUOYE/jywyFOq0P9eMQbafRvb0ZKD+9Y7OM10Nf8ZVksiz+yzliUE
xtP6NAO5GhKW/tQPX8CbsdnNuuYGP1+wjgazBentDbzcwW05InwqTfVW+fVXDuycrBQbhkHbn3KO
DOs8bevHzONHzY0Nv6XX3VtDjX2dtEm6sVlEV247RjelypJbn/7lUXhyvhrSjtvgpn/2OVtyFlNo
Xri+P3novdZ2Z91TmiqgSqJrSLTHuu7E2YssOrnOKYEcezt3dkhopnXhG8WuTeb8SiKu22L2steD
Nb20UUBTQTocBejJrcYoJSHGr73HVsj5JqXlzA2dFwhY5Pa64IZVfP2hS5Mnpn3aXXcj1qzaVfxd
S0z3DZxqh47l2sh8pHCI7m4AsiZPYKju8dmQWZ2FJ1uW7cGCQ4HqKiJnVLU0EVFZRPZHzh9w3ZXD
8YoGsz0HjlzXrRvypAfgjXOdTyRoDSCAwlK+Ko62iqpwSiouSMkPKMa6g5i1e3C18v4c0xZor9Bf
kiroPszCMpIt+T7DIak664PKnYH0BXKUF8RbRxR8hChXDj4HPKUYESK/qz1f3Y2TaMX/sHdmy3Ej
1xb9IjgwD4+3ZhbnQRz0giApEUBiSgyJBPD1d4HdbovUvZLbz46wwx3uVqOqAGSePGfvtdesmgYl
hi1xVUMYe+taJ0TE2YmEe4p3pkbh2fp74gA8XpnK72v6PrT91wrEwAYpwq1E+LTMAc/ovIvHDijh
S5Vg49Upil1RA35qEucbdB7vtmJc/GoxukZJAqKewUymCEvUNR2cLE8FVBBvGl/NIiyAV6vudib0
7yRm8TwfUqPYR5V/RWfjNCYQLNgMbAfjwTJmwePsD8G3OAnKdWp3wWXUe9mDJ1v3nJwuj5QkXTCN
cORa1nImvb0Jym3dO/VNSwIRWjV+igs8syE9wJjsjwDLXLKZUTch5Rq76bIK4XklVitID9D9jk4f
UyQ+175vfWMvSFErMWQU2QOrWf7AFqce6YmYt7no44MpguzE9DQVb9z4x6ai37HKjC6GKARa4z6x
ETacDsYEXXwmHBqzIC9EapIWRrZPdIRdgHmxHC08e24lN/6QmIwLuva6n8f+wQxn9Y0RynAIuzo6
JaCovwQ63X5hPtHmvH81wmun8TGgLpJKqqv5Pmr7kthEz+s0VldW2DXnJBVt5kg6oAELOQ3bTPA+
nEahi7grJKbki47D2X9MciObN6hu2VlD5Ua8iC08san1MRzQJPAvEAykJBVoIH51oG6LuWL21SEn
PC+qMXuKS6/atYQUukghxuIEjDcEhVAQIeK6OR7brtTlgxmP8fXAP3oYS5ZXeMm3uqQ27qpGvVRl
RYZFGoid38/JaVtRkhbV0PSrvhzKOyvVdKbNwN7jRM/PBDKC3YT7Fk9+U+D7nzEde630dtqq9DX2
25YB9wyQWwwZ1m1hqbOymtXKtUWFLGdMrmzpxNC0A9HWlyOtN9KcktFsfIC4sBkoFmiRRxOJfkrZ
tuy+UW5moUpWedBo97buEz9nFqKmOgza7iCitIxWWkzDfFqMLjLLTljbYpZof50uZR0dwwJzeec7
hz71vYclnA/Hrk5kcGhpRFovGOnijYnGIznLhoGcAR7hVmztMCFrHGMDKmM82qw+fVufDb0BP7fD
Rz8y2VuXVmPsZ89PN0MP5L3RrTxpeSY3CNCyM3qqNDWRJLwxznDJVc/deUUPuIfZVsq7Lo/i7Alo
sVqXbgSdf+k0hvRnPKKwwvB7Hcrk4KuSEhwLtbFusja4n4U2t0wbZjCLHXy3zu7mZ9w7KAMRaq2I
9AQ7A9cdS5w6zowfr6XM5GNKx+5Ga8s7zkD11zRo5cZLLchyFkCCbZIzNqqB/69N2ob7kZg4uqGi
RqTelBuHz/ilo4qk3wUqhARCsU3Y6yjOmwnJKyM3VQQnhqyAlHNwv+mTLNq1WGaePXd0D8h35SrO
WZloZ4VA5up0nyXOQGMQq5qTAUZHPJbqF8y9w76w3UtnZHRpVu0lWjTkVD16Dmnb06GxCliLCIbP
co6048qKXL3luWl2EvfHFhMy5xseSuiOIku3Oi7TbVSwjcdMY7921PSgGIKSpGjmf4ZmJ6m0D9wx
XBJ9DNNg0CQW0VXsQpeLAuOyd+aJLmV6UGNenI+5qtZeUjmkAgITWIIy0u9S+u55HDOW3MiGYAd6
d27esfArclQn5lPruWUc1+b9wKajp2smX9HFMJIDJ6rMP+R+5m2BL7Fgkmt6zEzrKiQGkE5dN9Zr
ck6eAQyKTVUD8KOwa8KL3GjwH5QmGJWCoAtRRM5Tgggdq3qH6q7M0vLJkN1T4wTEggzh3kVnY65q
OXwjSaaDjG7OJ1NJ0IjFwZNED69Xq5GJB0pjYlJEkED7n4tnL3LS7cDdYgoxPsqQQ0RCI3JuvsFh
e6Qnuzxvyqy3qq9y2oOOw6wFMVGRRfFRZOiuc5LmUdQj96dmfm9fIpretoi9VEJEwVnti4qnpQv2
lskU327d7AxNTn5F/8E0N8odVQj0wxwA01Nvo3S2yUOh/TOGnTyJSJDazhradSJC87uuOKKJXgyH
0u3VRhuNfU3AAB0B2b726dgfA4azK+JdgyN9rU2aTpLRig8e20YtZcP1u55z2u1J1rxwXqMUIwWG
cN1ZlCeVkgMYrqGbHgaweCv6PecOQrd7Sqm7zGiadQAQ8jT1Hb1uxpnCsU5PYvC3CCCU0ZJKr75G
VnOuYZ+sUmHfVwZLnhhcdyf9Nlxrzwkf0tEqUcK31QbSGlAU5tV3tHlJ0Jpz+xQP2xmyoadeBh2k
2vS29a03fH/Uf0TQYjJgIp/W9hMRi8WJM1TuN8I9WwjWrbPB43M/BqHzJmVpwC6pQhIC6XpQfI+S
hvXslzfh1JOZUZPfu+llGH8dTETkq3GApENiqL5pQOLW5BsxsNrTgNA7r0OFRfFfWpxxYFrkyomw
/ZdEzaCwIjZODHGAYKxNe4M3odz6Zg4bmAxePWcJoaJJvOFWyeA8F568hJJIYW3lRg2gJQeu69tz
UW2HkDyxrTJTeWFbfnjCX/C30Ka92cx2XFGzeIRZeiTNgq64x+ZqMbYHeqKafW7kyXZE4g5NBS25
V4zHOQtyXnXrvmVLWjN+kSvUlfQCZYX3L1r0Y5Y/LO8EVV5meXvboxIGFsKS4I/toA+iBj4wNF+B
eR5HHniENNI8yRPjPI46ap2CyE3RBEdpDf1OO8xzg9wvjtKj/ddEZreuKPXXVKb2OnabszYZrhFz
LsoBnvh48rbRWF0z2642NGaAL7ikeAVGn+45u9BAJOHgErHpQ2a5HQkWBsy0FuRBArBhn5oy2WY1
AaQjaRKb1lPdSdUnJp2LHrpK7n2TOo6ulWHShos10+56+ponFp2zfnJ25P5mK5hkL9iArVsdgtrw
x0m3a6Fq/d3rguGWtY8gJd9r14HZqGPb0IwyLbEmgdA9x21l0GfJMmgyZp4fIr86R8jcocAjU3dj
Z5rsX2AjZbBieMe4g/3RiuaaGKhJPgNwq59w7TtQdGFWvMKegJVnTbnxXPtlexmYhXEQbHhEqATB
eAhz0Z4FOUck5OQCj3KWHFuDNEgHz84LdRavVgI8OBNWeFlrJz6f+1S9Gpn/lrTWJInoNbpjQxv6
eh7dGMMTKJa1zEz9JRw9dWXbqTtftGNYEwEZlPWeLmiZoiJ2iIadI39n1ZkVbPw8GzfSztCFZzNh
TJm0U84LsXFBvI0HNYXN4ABt7m5KvC9UCN5tEyf1Lmkw9PEeTFu/7SwOV+G9XhxOmHTt28RcwEsp
HH2ri5/LEf+IIIx6jezMzjYFh3TjlIml75wVFa3Vph+IYXWjftwlYDzBM2W+OroV68/K700p9kms
x6VJhIZR0wujpil9a1VxuKG807WEaurX7X0r3QZHbBhCPkVXaeKkpMc3SRGvJ9aFJ9SUkXOhSeO4
G/gX+JuwUfODynsMQjJg3OTQoAb5X03duaOkOgt4ejDES93vdVNlZ7OUst2wYS20LZVQMREws7Js
crfY5pdKiFXmiZlU8NVt05BXW4n+IMMUGJgxNhStIWS/VWIUIG5CZ7z1lOxpPpm59Fccw0LuBGZy
5sXJNw+3T7IhYScZN/TUppsJdWa+hk6UbedmnIhO6jh4E+lCdu5olnIzOPJNU15vGRFcTwZlPcJy
8ygJNtl4UsFkzeLmekwG+0EIKvCNB6+Z87pnXXVNTRZT0QzhTee17KesZfVVMRukJLmZOjppQ1+m
nKPwvJ2M/iGXizGo1NPeloAcOLx2znWHYoNY35jjCzEn0SmBMJjxiiw/9l043Nq2QzMU/QVvKSkD
WCpLvMc2NWOabjKvI7ku0C47FtBJAZ6kjRJxQYe/Zz+JWqc4FYQvebve1x53uhTbuCeABXxkdwX8
0iUTYpL21qENdUeUaXIURM6vCamb3gqE60+x1VGo4SBBeE2D6SKNoizBOZU1D8r36p022HXhVLKZ
8UhtOOxkWzPpxF4aGoE8rdHTNh6Dk0EDR5Iwws6kVVUg3QLLPKvnWn/pRdWDUxuRN6eGZszbgod3
sp4kq7yRF96kQ+w9VrLthpkk6s50147MeUqMVvfnYVE6j3RvDTYxLe9M6rszRs96p3qqf9qZAV0a
I72ZUjGswyiBIswsY53IrjxXffRqDJa1ZXGKD35K7A2xvNZ5NPBqOMJOt1mz6B6t8Koa/fFET95w
9I2A1FeEJxu359ShqBjX9JvbY5dG6txog/ws9KMXSJXWdojJyxPh9JxMZbq2FxdoTMhYurLikl5Z
O90bmRPvcBanKAhnwEw86Pt0kN16IMb4JO9qejZ1XhFpHIWEcDkjJCKLtMneq6llUbU8ZYU7rTkq
zMi+Rn9mI+vUVRjU9IGtqCg2lWcPxc2IAHwzpWw2wsPkRz9ryM8M/LvaY3xDj9Wi0qjTnZWHmGnr
+YI5Pv+/GV93zjhdamRqK3vI76POfnQSFmvPqLYZUQQbOiXPUbWIH7FFbLROk01nAHSqAqPe2Vbu
HrRb7t1E3MwhwYK163lQwk1sEMl86aQZijvRPMiuEVd+og6xYR8orPr9MLvDVwPZ1dp2jEfHtMyd
OVMhI/cHZEGu+WoM1XOJdelaq+Za1XYxrcw6ZGvHptCikjAuQybr69i005OmMm1s3sY31wjUeW1X
EDhZ/4FozQRTuZH72GsPhFI5ng1Sjidt0Tz8d2z97+R4WKaJ5On/n1r/T/H88lw+/zi3/uOP/Dm2
DpFj0ySxXN9CaUv2LOruP8fWYfgPhFU2xnnmMPSMFtTFP8fWC1s4oP3L1NKFGvXD2NpBxG3zRNOd
pGQxebT/DnJnMef/IO9alNihs3wK5N2I0z7TNgCQ21DXXOMQGaR0Lxab+aAgZ9398Jv8H/Lbj+iD
d8E3gmPwoVyNFu+CEP1RcjxbHYOTeTAO3YyRNq9ZPhxlhpelHgDz/vpaH8EO79eKLAYTSO6iwP9J
sca9YLo0OPFhsuroEh/EcO6jMzkyDB+vpM9J8zcXBJnz068YOChEPZAXoeUE5idpFJuR11hBGx+y
qQV/FuNDOgP3ldSr2sBCz8KN4x59o2PvTChkDkV9sSDlgB6Sfu0lau0Ng6tBK+JOk4u/ZpFiM1eJ
WrqpY9aCrOyiPTVYtNczhsUSzwcp22NFOKdVXhd5EQHKafsvgD6qYzSgsTbikrCiqc8uWLw8lElJ
le6nxsQclXTTtum78to23Pl7hG3sPs3d9j6Qybmppmyrg4LBtUSqPNtOfu668MXWqXDUtd2p8m12
5vpydrT4YuPQp5BBcgVnr1pbpK6vVV1pOH3EzDZomvbhQBO5bSa9tdKREM3e6U6BC9QXLTEKWLRz
59ksEuNQ+Lqh52roQ0MGEoK3MYoZ9ht2/dph8jzz53IkHGNO1cpsNPtnG7rMY2y2kNyIdL4Z0zZA
q0z1lujuKfJsb+rO0kqKXVAFhN3pmOd8DaiBEDfTKasX1WKBx8wYPogot2+ixIw4ApsdAnRO6kz5
oxa26jJyoFMtMpxPeOYYL4ZO+pKnBUaErHKLSzCRDCh9N6nPAqUVA7JK38OkJ7sjztqNbRc8e4Ji
ZeVmwrvMHOsmHTOT9o6YblJYpNvOMtunkj1vV49mz3DNh1gwcn741i5hU2mVvk6L2iHBW3GaRKFi
j5i9tNx2/DgpnuHzBl7WA4oVxGxVNp+ZcwzqraNlfOJXg2ls8kwwiTbQmbh0bmipm+5h0FVHeEWW
n5kiUd+ww/YvuTXR65gTunpbo8+iIz9Bt0lj/7Xpi7W2dHuBcZpdLCi+mQ4WLjSPp8TsIiKBHRth
puQhlcXeoPpdIVcY1x2IzXVtu+aaxiEJjLI/FUbrQraFQL7GJCKeERvG/MPBVydWDuIPn/4c7bGb
WKNq9NPuyhvpAq6Qz7k82rw9IzUBAG7X3sJD+j6WgbHzWqM/z+1qfunHeiLeWXovcszzS9KW7U0+
9/1Nw0R+XfXhTdNE2VZ586OhWufCnlN7C+aju6AyIkcw8vVtVUUK+UI00Dd2ryv60QHiA/uQ5aEe
3FWfDOn0yjSDQ248KFWDV2TIj9k4lPZSf4thkydlTtytraacNkKD/Qtj7TSeoCqjmsIv0pjmKjYQ
Nt/nHQpHnLC26jS1qlETOzMNnbhzWxEmHFMspmCDvgumns6gxdxo4yFhpSMQ5xl9FizpHPBgh+9p
K/nB48h5MtwFU257J/B1oJFkhTGFDMrQxRJdWPY+LjU9J8DFPf5JB6VucuE3iwiwBlSurxIsNOgY
aTN16WkUL1aaFTpc78mW6RJHbcJKpFPZjpF9L5Q2vF0zRl7wLSCV1qLpTO/kSH5HotrbvIyrkkyZ
qMufDE/mt9GAlb41K5bhugy8w2BiDQnQ/xBh7djM7bTynSN2HoSJeh40SbpGGu293nGO2o6bM2sc
vYNdwsRajYiHJsYIEU7wlCbQqgNdQDMk9uPbaVL61YfqGHJkrMgbzhe0AYFzYG/dCrPbwu6SnVkd
sxF6Qs9Qv+IkhwqKGSx2TDIy6HigM7Z2IJ8JdmuzaouvuyfbBl3lypjSkjsQR1/Hlr9qkCre0gAk
z82rDMW5bNDl9ei48juWrPCMD4KBIbdd7PcTCa4b5RPTsW0nXZ+EZhFdFl7mPxcENHG4LQZrF3dB
Cc4FkMo6B6hbrcH98Pc8oy/f7BDptcNQ/KqAgT1vSJCsb5MyxZPY0SVEiEP4DM1Cqvz/VoH/ThVo
mwQA/lCG/GTLO3/uuufXVHXf+/6DiPHPP/lnNehH/4gAqRMk4YETs0AP/lUNQmD3kA0i2Qv/oiz+
WQ269j9Y3CA58cdMCFI/EtgtjHtg/Ez6oH5kLeXl3xAxfq5jUBAFQKgX3yAXQ235sUxDxewbHPIl
3fbijRcq2hsh+tgsxMf8w6/zbxSEy5Vs03QZw1H1/BQbVxA75M6jxZVsjqOlKb/Kqh5XOibr+u9f
iWtA3XJRZv5kOEx6A6O6zOWh17lax8q87IaStgFj0L99IZx17GQel2O6uJTaP9jqhqCwiEWbJW3u
/C0v8jek8G+C//1PLrOAQCF1osf/dI96H3BAiseFo+YCfQmbBu23T7ExZv/BT8ezGoHlZ/EOrXfS
2w/fKEEr4NYp32iIy/ZspLW+YhcMz9pK/OZLfa7ZeRxCVLqLvNfhkPSZIRYM+EZ6cngOqSZyAljx
zZSMmNCne7l45n/9C360oPJkLxeDxQtNEaoiJ6CPN8qwaD4EVi0PUbOwpTF/HEQIgKA2smczXJxv
Lm4bC5LS338UlxAFUAtBwKnu862jy6nsgor0IJusvlUt0G0vMhAOCv7q199xedh+PNe9f0cvsFkV
UGnwVn/8jrMS1PE1uamGgmRUKjltsUnFt7++yv+xXoT+D1f5dO6BdUdPQhVchUnmqd2O90Opq2PV
/mc/3Q9X+vTUo81P6wGy/4Ho+YkGv3ieAX2uf/96WZ/cZtAXTcvjPG6aHK8xunw6qiZKx8I1uvzQ
LxACzwBP0Y8ioT/oPjZZYBwMRw4revc2RSeI7KTtj7/5Vc2ff1daBsBhoyiIXMTrn57QGo1EWNay
PMgBwDWjRGy5k2S7n91y2kbEzWw4nFi7JvK8g4nTY/PObINHVR2HhsYBkzwoIOHIybLlOPYapFm5
DgSuUIC41m5hlE8MLU6SGQMmoznYF3LhkdhR3TBz5R+ZUqLiTSxGSKrx6AZjU15jOrQf8sCuT7xY
MGsrsb+Q1eMd4mBG6jlVnE4FrxR5guTQ4H7ibA/KJtwMDXCJvl+a1DnTsR5V3G1vCPdoRrN+fT/W
vh9cB5/D7CSokXTYwQ5PA5roW8hPRAUtcM+s4/O8Ex/KmC+dw0DZ1XixLxN7rjc9qGIf/RfcyZWl
iojJFSB7wO2chhsEJQy4MK8arTRIbeDbzSVrZymCHvlSxVwrYH0DSlhtifpT6yoYrSUUsCZ/EZzy
0S2HbC9aGDaWiWo4pFLbhxEwS/ze9kOSDt7pmBAimYR1ce/rnJNQ58inxi/th5jvTsaYBtchS1fN
fKYBXEcaLOWk40wsN7DjOfATLlTcdwyxTkNsO9fYWPqvMT/NaSoaeekr8UZaA4No4dsPWOvexk7H
t70/1yd6WZ2x2ALMKpAIgpUwF2JLxPTkiskK4LARCiSbSg8Nnwp8YPZGohCemWUeThHM4ZIEEJVk
F4kjo0vhJ9Wbb8ADsWrMvz4goWpj0xQPkfLz5hXkFBxnSPBnKeLwbQ4p/iFWJFoAeZ+oo2Vyh0CT
r5QEWf41mjkrllBOiNBLF5xXP9Tzup5bv9hnFaxlhFqDjDZ+Gg+PaSyBYdnWALmqqnNoKj6yijOj
zuYHyF7e3Vjl1MDof498x2lb9SzeeDxwRQjQUTUv9x0KeZ4fD9oRLkPXG3IGZ+lAJOQIYwAoAHEH
UAKZAMXgejl6SXo1BK7SHxB+dN815MohcZ6NNW2ZaDtPBAswQkNh7BVapvd9ZSTkZIWVeI6wx++i
xchMoBKOpAyV9L4j5+FGw8V4nEmT3DOH6QtmDa2d7QRj5nk7izBvVm2XcL4BT2S9IL1agCu8Wy6z
FPCT2uu+kNcE51a4HpBGzNwlZb2HccBwjr65zExcnRlrK+dOMDfKvzZA7I9jnFTbdiQLJm8FJwWA
XLHFiYoPwkkmofNmTB0An7T00wvkyONWJXSP8EHQf3LYfZXD7U1DQIDAvOJb9F0q36RyTL9XMvIW
pT2UQX8BmriWepTdNOydknMjhgAehFmH1ZGBzlsXI0tqjN5cdxbSvTb53tNw2aQd2v3GPvT18KLg
JxxLqDJbFWNCYDcOrlPFS2lVfCzTKobzgdQLlD68527Yx+ghg/whtOR8akbjrpwDpmDzKPt1iSqS
sUAmMjz0BQ81qyJ8B5RsG7hI0aVDXQsnibeec9/E4UwCHOrgGGCs9Q6g0Ia9tWz96EDJUSnFc9YZ
2Jk1oDFIK+G1M0C+Ig3TuiPdxjmOiicqZ0H9qhb6jQn2cTNUywGxA962KsMmuuwrDqDAqrH4Jh1r
Turm4bXloyhyTXQqHgtl27J++Nj4rucMD5/dthN2hAX7A5UhvI7rvD2ztGIley/2VNQ2+8JECyYm
wSJmL50HzaVbMKi4VsJ+bVuWfk296kRWBSNHklp5gk1G21lx6ci+3qU4CbkJpbxk+kdpX9v1aWEh
4tzoJkVXU1ruOg/4daCD6U3pK2v7vurqNHvq89D6bmpWq2F5RjwTImge02EU3pjsBmZUrHEUMyvD
6L0LkXg7BnTEw9dLZo8DhrLpIdvQo6i/ZCO/0BwQuDmaOHnZcPVacYcXIiwwrIQ25t0gk8WJWFXH
eFbldadYe4yE1UNHvPQ5loTNENVq5wiPmPZqyC4QspovkaV65JSQuvJaEereFQcGooS6gTnaY9wx
zvs2u3QyZ3g0hOgupzHtz2MxP2Smox9QgWMUmjCYkrDrYdDE3VmlTXkpjTbmuP0UNG2JjTAlnylO
UCtnX3if79vBTA52iI4qTcoGf4UjL92pswu2RWKGfffF8Go86AGbHrJr98TI0uK+qVh524oVxyxD
6w4ZlSQxhlsq/1hkfbcj6IZ7sOP4p1c5zKY1+zba6KkY1aHEkNbuqzRa2VYqaaZ2Eek2U1GwmAnO
mQ2PiIjKtZWY+UmlGzNahZKQyypvSQCchmZuV0RyZuh3EugEKy/WTbmSpf2lK+3yqBunPCK1NQnc
DlVzdIpObRRYSrvYADerA/900vZYzmw+xdJlxzcZ3zS2zsCD5SI19i6o3/SoReQMI3r2eAiP7kB/
eBX7CosEo7GoVf4KcXrw1k0iRdQ25OV36TGztbIEz24YkBiC4J70EKfxzG3TvWeKhAGdn3Xf9v1V
5dMsbgXyVbXuwkRse5m27mZ2lDWUrD3d1zA3835dj8WtFs5YoEfzaRVR37tgTYJpOMLnzTfoYV7c
UB2kEJjlJgw/Lo2nnQ21csPCMVx7njDOLUi3JDcHJQ0g1572vKc2UUkC27Iqwv5gNzhsxyZ+zlMi
YALkwFubqd4G57v1WPY2+TDs0TRoEkJMKtdWxjoqnPmC1zV5TYrAImJxCWIpAkSLojCMk2z0TLp5
2Kchyfos34h7AZKCmtYr7UaFt5F84UOuNMy4kBHv/tfVqPNTMboUxIypPGyXJDN8PgXKEWdv6Kr8
kJale2TmX77VTsMvqEFlmhi38fRtCwYaZMDgabqAHcjpidSnS0bl9jprS8QgdXUM7QYhns1Rp8sk
kj+Swb1T14ZMWbWIYnK/ows3NPSw3pknScw76BBFW2/doIxvYfG7z47vwrjF1zjsQ8MKrqfYYrmN
p7G4N7NMfH1fA6sK7M1aIz/73aRnCcj7eKyKqCNAUQBEciA6vHvkfzgRo3NNXNWZxaGhmEBpq4fz
PlG0HMOWmqmnzL6YHCNFfDhTY+VRW5+y+HmnPQzjjIHC787NC/riwzFv+Tw0bKyAORe9h089hwDQ
EesBn6ctrXtlTqcQiBqEP9lzVaibGDXA7tdPw08HdR4Gk5M6oGfOJij6Pp4rO3fwykTL4jA0FKRk
OmBDqShNqip993TXJ7++3k+jteU4xiQUV68ZOY4TfjrIVi3Fngs1h8W10caKFbPeZF01yI3gwerh
82+R4VIbe6G+et+CSQKy/H0Ka3eHqNBYxzl0VKJFhj2Yit/1sX46Z6P68UPb41NiePhpsNmj4Kct
a2WHiPP23jMS2ruY2H7zDv7UseAqNCpskidcO0DL9/FXV5ka8HDV2cF3qVzRGTDIkKReNzYOT2Yw
cH8mQeWeYuV9/PUNsH8+D1MfOEv/Z5mqAnj/eO0JCcTQ4uY4uEwn4kPhAgt8b3sDRPROcZl602Vk
gAys3Ok+j6bmDdzW4sUZPCgAdZWSJ5K0bb9qCgUYMMF/vEPoD5qoA3Uq6gqoaWzF/cmCpEr+6Lj8
12z/G7O9ZS7JJL9ULXT5J9HC8if+bFNbNn1qmkc+KRT0TSFT/LNNTdf2H9jVlt6wR7sOLv1fmgXS
RWlRL21Wmqzv6Lm/rPYef8uj2R3yBgfL4+T+nS71wqn7YdVbPo5l06G2fJKtXMatnx7JMBimslSm
+z01ZynemH3Gjol2xzaaftP3wp7uSaHI+l03OQU1QDd53usYF7I6w4ReN/ZOGi7AnLwJDWa7MCdM
QEskz6fjl9YsDcEAkeBxcsiyGOEch0BnaEgQI/ucqHGAcaqzL0lzlgGlvYlS7EvKltVuC4bJCM3c
KcrsZjUr0wv3TocymxMmo9+oBTIxGmG8qwaxGAnRQ8eoJH+4kVd/LP4/4t0+NbDwTbFQLqJi/svQ
glXp4wuLbcSCdDl732WnB1CWJYnvBRnCrsMoP0q8iEuOVlaVb43fZtMdbXOUdmubyR7fp7J0Mn75
9Uf6tIbwkYIgsqhIPBoKTCs+r1/wT6AedG3yzSpMLz/HBp3kx9lVTZfBQfMzTp1lkIHvAXQuQ0og
AbZv0dvKOn+ux27iTBgozxBHhs+dmW7nOCFDei5GbsW2x+mKgqEloW/c+nDO/Yt5zjHBbkuULJwN
EPQpnJa//lIfV343MPmREZug0PEgUvAufPyZ45SGu0E3iwMRhudbr8qM+qYs4nq++vWFFmzEv/b4
5UKO45G+hUiF+QLX+3ghNOhNNPtj/M3hblvOVsJids2VbfKGjw4HikvdkYqYcij3CqOHaJUEww2T
4d926T9Wgu+fxAtttGoE/uKb9T9VG5aTTBy7hf+NzkzrX3jYTnsksKVBLX9EP4Cp6Dc/8qeHGc4H
7CmCjwgDAp5FwsinL+/Ymls56vx7SJ87WKGjES9WWEy7eclDXuZi3+ZucWdWxss0CM3xxx/k7yRF
1scV5/1jhMurRAlCTxuVz8d74ENWLTu6Dd9jlDcKq1M6XfmzSouzrPB7lH1DdIcFQu1ojMRbSV76
Ex2UgXZ1B2P218/D+9vyrwfijw9DFLPJkwdF86cnD6qRHmqQ1t8T6vXbxre6G/JLjE3gT9mpA6Xp
Avd+f5RuVZ4Uo2Od91WAVYqM8/EqI5eEFwsUIbYM5byxA7A6hWDFfzMasD7WLMunRBDFqk8wHMgW
UqM+/mRkvExl1Ljq+6RFk3wB3wLrorRdDkrg4S9sf8g5wHSzz3G79eq3FGQvmBCsqHrvBHV375Ht
e2YGOv+CxUaRMmrlMfDhtuDnTkSwxuVFW/zXv+1PL7Xn+KHH52Y2yxj08+NGoKYR1EXgvBaMTWo0
rpM06PQM4RxPvysdl3X4X7dxeZvYKCmjqakY07DdfvyBEN8XOfGs9rcRAFnmfreRPaX4b6RinUvq
Znmli8lXKtr+3S/Jk+Mv/2HUzCb/6c4QltC1oJq719GMcNHjnSrC4SamWcvb/OtLfSrfly9Jb9xG
2ubZrGCcVj5+SQFiM9eDXX7r8FmWwQGXVfWlsHv2xHVP7ge9+zGaY7M8qzMaIebWG9J8vhddIKl0
ybjHB7oy8ddG10L4zMhxqFd2cZYTdhNOB6Vdl/Hdrz/0TzfGA00RuQGIFYtl5/MGakU5WA/brF7J
W2r5FMTz5eJtsCaDMJm69JEux4BUaEf++rrWz09fxF1BS8dLQ0Df520yNixzlK1nvJALbtkQwAMv
U6Q8hxzwzbXl4BAo8Ke4efBMNBjhGGiw2zYiApo0q+EuK2eNGhi0+Ny/JBgegdjRXJ1OPRjwdBt/
/Wl5Lz49wHxA9AjLawIlAbnAp3vrcQ5sS/JLX9IwI0plhVK8n686DEc8VPOEzmnYR53s/AsDZhhv
U1e5LsVH5eNWRcmUu8n0ygNYijcf5xz/BnIQcuQAg+XW4u2PDd+NJbuZN6rEf+TAEDFZHMog50kd
8D9yd6q29yn7KgfnEgzEMl5KAgN3ARe0aQzQRk0ZnT3NE++9v8LnhsV/YwvhUFSQo+U3Yme7DTr9
VZPqbJGIuqL87mtlZRbN5Libr3j9I++R/i6PJhMgwWdc8nErUGUkKj+ic5eC2ZY/FvP93DvBcDe0
jT/cdIL/RwNmFKwgq5R0AO6ZDahvGTz9L3vn0V03kqbpvzJn9sgDFzCLWfTFdfSkSFFmg0NRmfBA
IBCwv36ekJTdKWa3smtfm1LdJHkBBMJ85jWAx6s1KT1psdDB6+ESAJ21LCHz4TEVtGI3zKXLb3L6
pPxKEdCqDk5iol75oCH3EDytPZwpnQzKL2mElFnMpS0YS/w6+ExzNStD3+cWQfmi/9RHhZjOqU+R
5ab2kcw/zc6wtFeIq6zj5big6Yl3dJSana/Ac2+9iiYorhWseJRjq10fpS6rTUaAR8H1Q0aHL/Xj
AUQJhn/eteBLgnJvQyViQIXdMv0G2pBsYjU6fRYSr0Ma8A8q5GtTorcIIerP7+hlj2eMV6QCJTem
XAf/x8s3wRiMXgH587zInM1x9TqeKfs+qn5VzYyciCTyded51nC0qEiMFKidPDZX9KyQLGGVKYba
SGWESJTu2ejNdOliTZTkVV3LpCnToGzeoXjVheERSq2ZLlKULmtqauOYWZO56PysibdATzIsRicN
jzqjLO5dWv5SrK99s0yMYUeR0hTI2Rid9DGqaTWX+w0bi3q+IJGfIFJkG54G0R4tUI+frRAyzEOU
sQyWm95LpzY7dFScuePQndgFDmpDqgHZArQ3uRNFr5dPoPR6b7qMh8nnW7q181kKCBlHfLIyjS3G
Trmd5pYQgTEXmmkd8o8f554fJFT8WIJrhLdjt/e2IAAVCoKb2yubIjJ5QjrZGL0PdM3Fx2L0+ZCA
EkL5elf6sRnjfmoYwXGZR4Zzg7jBN9WkHP651BDUwiNEWjNFTSo3Pcmo5X97IjgWcFhq9gZSFcwD
DrSyWOerWpH4xZ0LkscLqAhllrQPGJoeh+07vAkxkKfg1SEdb3qitegyCtC+aEOdp8UeyuZmqn0K
GYdeDXjBJOBuRzOrIfgpvZdVbKr68OvFgkud/RTngobdHsH00OxMeZ2X2zGwAZRSpZfeUeMG79vo
jG1Y4GSTLbd7sa6muxYNoEsgtKMtsbYECnOH9IGg06jQbtCYXCRBWnrFXedgtDLAEgEnwW5VTCvd
daRJhonaLqVE7NQXRWNkSJZ6GKz5qgL5xz2m1sC76f0ImTRc052Wh2nTEvXvxxiYot/eot0YLxEY
2sJH34KNmO3moL2sXLFNkOjhwNAiT1wQgHZRlDqnXjmKDEOIim02eEWgxni3sNmuPHNcLtVG30zl
S55DVe/y0Qlv9QLunMmDQI6ZiXpee3ms1tTMS3tcBuZQ6hV9lV3Bhdr4We9Oo8JoUHhslUOPRxrE
q4r30e4W23LG/naYA5ctt0TIgbfUOr7LWdCtzcx3xT2ioR5mWtSx2HUKBE6mo60l7Fh0GYaen2mV
mn0JHXIDB9eoXWD5Qdua7Un6S8D4ITvA7jAxiqwFWHoDE2rqlYdyDG+/X+mt413kn6N62LjxfLFG
Lu07OHGAmgecy1m/ypBTvklp3A6HyK/NIav12DMdlwDDDbr+kVrZH9Yot/y7xV4VxhpsUcIH3IOB
aX7AWbBTOxTWTIhleF3rK21Bst8feS+7vhmcues9+lKVYlel05mXs2chRY4RO1odqNHt+3RuU6hM
iIc80nXh4SG31+z2xjGYOw5LOGwgx5s8ZGGX40b6Bn5vNCP4Y1o3xWx+hgecx8Sl1WgStaDDhA/C
phVxaIG0shljL1SxmjE9rDOb9WllBSsXqUERQvbMnRA2M97B5X6IK6UtaL3OGnzGa6tWj3az1E8x
EC/ImUr1RX8ZtLDPj0E3jfJVNpwxmP80EG7RN6D107Wy6D8DSw+2I/KbXf3VL+tNvWsMbfZl3px6
vttimFg7RAsw4KFrPkukJlAIxUOv9z0fM495FtF0q3o4twh0NXaDTnjNsYr2r0YNoucdKTb5Jeo3
mhPtpHxU6RCKMCH9puYVEyca6268k8pa9afYdUb/Magx7suSEucho3JXu2va7SSeeE7KPE0zjWwc
J1mdhFtNdrqPi3qz1TEFyGjMf1cYpYGubmZgWfI4xWEG3YMAbXvKoOR1HHyBhssPPDnaeb52nWRF
nAxBoiDTQ7zHW8YoM4ahq5JM1Nk5dD297zt73q7SGGfckzM7YI9SuTgtgidhvcGITj1h3Ut4Nf77
EfBC2Z1sOluyP8SdvSxPi17Q1LIGYAvvfMsfNgAMzGpUUIJAvd9CDK8gyesgVPIEjZiWOloBoQz2
8bLV1SktNL4vGyxJVOBiqs0uSr/qm2yf05RR+zVH/X5a9lBO1x4+ifBGMCqh7MKd6w1C2yedYgsQ
7cfKFnVwSkncglvEH6yqOk2BJKzNf88j5BhRQOqiagT05AjUnIJD4GnPMvaPPEx5/yP6ttc6DZx3
WIF12KPNSEdxLMnGa6R4D8lRSn8v01mlWMzZdkaMsk6hIBpL7ZkFo5bVxJq4mICHP2GwMpljJWYj
YXH3kQkfFQc4yyH3A7PDNeB22UqwPaZOfSzXes5Q5/IGOUdXW59ZhKQi71HUuoGTUXLKYL4JIOm0
hiHfeRxFZ6I/fFZM5hCiTcndrsiwgboY+6YIPop2aLkVR2K4Ep8yfAfGvRx7wTYphoHIPqoAf7sn
3xVEwTRbTRSNuoFkLysjkAozHIw5BV3jNQNNUuw0gs07Ay2rCYmA13jsKc3Y2DwocUlEfVOIRpkN
saldzugZjhihCX1WzQDJNjQnJ/2WhTtVGTAl9zSGW9htj4jMY1CadBjX8mV22aWspUF0ivun+2z2
ycoPa37FLZ2YO2pTOTjqJVaxiVfjdGK3cUGCBF9myNUd9ktl2F5nXTlxLNIbMLFUK0MTsuSxNmNE
DyHQzh+jNaxVvJ9rZxpx+HZa6lTQSdAThfFpY9XV3LCHryZE+lZeDIbGnFI/TjDf6RjHqoOOr5Mg
ns3dO15qMZAy88u4O60Fkkh/1Nh6E7hGnCvcwThYSIed/xyJrWcJ7UbpbUSk+G/zjR1kCpSMKqfF
/2BHQGSmYmETB7wTzZKKj/gIU+v8/ho5MB3nmfRv1E8AThee2CuR1Vao88AzgFuTVRNyadtc2mn8
aapCUdJ2lUHWzEC3RDA9bYhV8lTOJk2xU6lxKvILabcmqLA1TC5qKu5qEvko6JksDUUtZ0mK2Vah
3qPKQJSSuamJ5qdOKgV8UGbDFN0jM+B2xXWQhjb3g1SPWQeep2wedaoIMp/qwTdLpAc1R4EVTyF+
IZ18E6jRZiM87KExYWGRjqivn3o3rImzs++naz5NGYcmigwEqonnSaLAwFMm3tSBmY8p7WMia5sR
KP/A7qrlA//d/DZRidru5zoKOS4dVMI4w/Ic5RIK+AEcO4J5T5q7/b48Kg076Kke546XqgY2vuba
W7wp+zxFcwa1TjhhFbKqe+ZCnRSI+bHOfIV5BI4YrRu3N83sZJPeZ/UQObDgNY6lBLVzt/JuR2tC
Bv3QbopHsOUEd64csOgp9zEOl9O7LIwL9QJmqjCSodUoEa0it/S9a392dAX0QbjMM9yeTBJYSkHG
Zjvox7KM/JjwksST96xXsa1X3oyA0BX00HWhe+l6ffUy5c7CoKTfI58hsydijaGLFE9bLLQDgcZ8
z4ijrY0JDJYss8m+0GTz+JSRs6gDYrvW8opgJoqvtjXZduLlMicdQXY/G6xzFEhvfEJOx6PTaM0O
4w8HxyTdYYAQAyWRBYFhyNqxMoF8JjvmRzqkGW9NNzQQuv0SWRseEwolVWKUWHTwnAhC2AM2pyfn
vehD2c6DyR+YToHg8pSS081slZI9OTjLUCwQnsBhMvXPkGvhXK0V+JzX70uvnWgoIoVuNUbjb+0x
zOn3epoGMzHa2dSPrBRsJVOSWurc3tn+gmkJA7KZjBvktWYgZyc0S5xsOZM3AXQ245I9l9kpRdxx
fABxsw3Iji9Ojb6aS07BwYb2Y0YSqFGKOQZIiPI1sa+VQdH1rYlE3dZlF0/m71kjNocVq7QvJ4dN
ioB/DJKBypVbHyD0myzwe2JRpyhNUAMAK7mimtdTzgULEW1kvP4UlUx0kiQYj8mcty2vtHBGc+sj
Tu5Zc1jyEZjpwVrQXrkJJcURfhFtj+1+dSuzYWleo4V0RDUURbvDaWLY6EThblC9eB2adfFh/b5z
xIgtM4aNU5lZ+euq0X9TM4LSjBgqDcRQ/K2eHy0d3plxPX9ZUm3yTKPrl4s9avB9He+GUfG8/3DJ
t1U1ylQA0QV4at/YiLyts66ybSNbQ24UwWy6hd+nRh0h+vVPT/f3SxkuN4KkpkFJK/RNZdXFanub
qE58KfzU7E8dbABcmxc2a/auX4/kmzYAnG1Kx6HjCTf0PXiSb8uUg40FzQx99sviNTh4X4051fUg
EdrPWYY5iBDOQrB2bBojVrZQY8ep7iMU8DQqLLdUIUwnLSblNXvP9535R6+tVZlJERAWHzgT4GLO
fPr17f9tqHBVgC5NY8AjHXdt8/O/IGkWlTY4Y4XiRRfItEImtJVJCzlcSaF+fam/zTk4EF5M65HO
o+tHb+vdhFGFi3KVfInzyBvXc7rigI5zSWiWSJBm8z9OubctOzjgDsJ/ruCawv0bKkT1gxdl1O9f
pJ+bPUovLLZ7YBzmgHCxoAXmGRPvE0ysfP4dmVhb3bHbNeIf8DNvh5kuvRCml0FbXjh/68LMaJNM
c5x5n6lJkDqi/UaVKoIPzQ74r42yKzybp4X5xNUojr1pO6PN20eeUzqfx7YLqxsta5OaFyWZ2nnK
XRM1/vqCP2OfaJoI2q4RvThP0FGmfPTzDNJltLGZrOqzaulLQqX0UrPNsSmCu0xS1de4muYFBpJx
ElYApP/JmOgbuuqvHRxCLQyWbcAxYRTy6O7Pd0CWiBWKDNvPfW6voK7pnW7VgapHHpen72HLpHIT
GgdYrvHSfxTFLaFNyasJkCXJL+bvg9NA0meMKP2vrOIORymyhQ0Ffo6EoZrxIt9HnoaauiucSrNb
h7Mwh+W0jh1YtDy1Wfh4BIHZMADFkeKRA0MX4W0glW0JGaQqXH1RAGVAiqWrLBNbDdCM2SwApodk
MdCDzXEOoInYJhw8c8QjfSS5rfB7gX4gtGfXrCrXBE1lpL9FfK5jguW0xDyNqg2YdsYfJKaiMulO
C8YjCHlXlGV//f7fLmv2Pch20I8iaGN/n9ojmUWOhMz6qcsBqqpzJrVJgeJNmwjgR8n615c0+/dP
L5ytlp4yPRp4cVH4ljlGo2zVoNTnT3EGUNI7jEUcVDcIILmVdWsP6O2mqKeiXS2Pi4N5A0XYujF3
8+vbePvkHjBHjHjwSuSxAXq8aby0Qd/OvMv8U9VR/rwsGuRc37twddS1O+h/cD97u4Mg2iEAGEZ+
gPIvvpFvJjlEqazI5TB8nnpMd59FGZppUZbSRFa/fi73zZLm29G9pNcfhHTePM9+82AZmrk1Qq7u
+3bQyGKllC810oaUUcl0i3LmdICBuDX8E1KwYV4ukO2eSdYEhtBGNpUSDCmPwYtgmVMThzqbbwL1
IiNDyUM2gdccPw1T1losUwaINAbV+cUUBaZMDFud354sx+PhrEpwFmWZZTpFgInNfk1CUC39BSJX
xVofW5Tn/ZtfD8Kb8WYMYvYVm3XqfyN4vhkDITIdA7tf3o9NaU7mtKNVASd97sicf30p7818Nu+U
zSsA4BNwLILw/XkDQ0ONmqrjp08RPE9zrVFQOq2m3oT6I1s9W9B3rEcNKIxRQJnaVEl/fFITCqMF
CYLN4Ao/NPVMckHJTuc2A/acF1ZVjtZ2PbBUcTYpZFPNp9UbSZgOiKGSHuPoZ9KSH40/ukWmiWTV
pcva2SJ742dT15gXvgG/Fh+tb93x8HtpYnKogCJ6JXLzJkuHqGXeoXJo3jsYf1NY/tFCY0Uyd0t6
Hpx7aUqVA8Skg5LZP+FVo59fH6gHn04+5lgghDkLhf3m9fU8wRTZMn2tJy/8WCr0q44u7dEz9kXS
p8af6yMyovHVCsc6hWSUtuD4q/p5ygqENdoIc0EUGeEnIdkw7IJc9+9T8tfhHh7KlEPMmdChiMuH
hlbb6yRhCOwChbl8Qi8nuJtE2l3luN7dcCLlxp4kn6q9NZTeh40+8nSZKjgtO4kMhb+nagj5dLM0
yUGNdEMyxOre51Sqjj5m9je4DE7Iaq79gZ54/ZzTw8dC2qVLUEpNOa+rZlp42qk/g5oQV+vyzVl8
621n70kVPrmczy8yR0B+h7dkTgkjG4YTEpbt0xx643PheUClI9vyW0hJQn6qxnj4WltSPcJ8GAiL
0vFcLmN5pE2wSsQ7aC4nqDUU1g4R+OmybjFLmOOJgk1elh9GHASpmqfwlfSsuqcNCcg94aeVU+2z
/MQO7Adfr/YXd9XDZyfc/Pf5KMYkX4LmqgqH4gCpqrj69SL7ebNmQtBWZjMThAoGu/sWvgUlDBVo
9He/8r6We0hnbXUI6k5DQVd28P7XF/t5QX+/WAgw0xzzxHBvI5J08wntVNx+DeywAZO22E9oX7jD
rmmqm8n3jHRg1jUPtAjRlfj1tf828789JtgwWjZs4m/zkVEMcYeKUPO1x8xAImIhKyha4JH+6fj7
9k3/dQx/e0rDiiXuQ/HAi9+idBacEdwJrMxXZ8YRiJiH42LXkfAUiADV4bsWqsm7YkBmdGfXIpZ7
b0JJ/TQVItgvtQZmCDg0uFOBii9bC4MHzlvMXKgr6uemIXhxddvInasd/8GeyvaPZvSi65by7MPk
ri4GmeSpO6dzYMZgPHrnNZALd1bYBFRvKnpxzgxRzlbx+hWlV00rYVRQ74T9Yi8a13Te3z/EQn/H
yZkwgDCIcfE4o9+GBI4VDouP6NBXfzSDnxdefvK6sj4v2/LSoqT3yYOjvR/hC+BDj8X4GQ0UGJ2/
ngLC7G4/vZnQgIMNHsQBqBi8BYuD0IIOTMH4azbSOKCchgL9EqFzth/okuj95DfLOWw0zg6FJRu6
PV1z7qhb3UwymDS0l8y625zMP6NhTeFMIa/SoAUpElVZN8Xahterhxe013hP1EDruw76ORErjbE1
2fRC2wW59zSBWIsopUvyfTRcxDUoIYeFeMxXVIrPBR5Qdyj+1nrfpcOIWmU+vgdsVz1YLeJOEDKd
+ei5Gm6mp4rsaa5jiK15b/MAyB3HOEVktADCsi9phHAmPkIViq6LfPU/OFS10x1NB4Rzfz24P8OS
mPWMrU91AekAstm/6UuMlIR572H6tS98cWv1XvksCxxS9hXqgLfObBR1fn3F/w72SGxAigO5Acjn
W9ijgwmegspb/l5KeGuUzSB0p+NqXVGoRMEZ2xB2epGpr9Kz62fkkfV1UcT2gzXF3vHX9xL8fWoR
arJ9uriDgfx+Cz5VcwNjMgP0mS00GMjbu/Qzchv5tMc9Q+x6zHuocDSdIfUKaoX7Mg8E+Mus2FMn
ieOEhic2tqoLwo+FridT+qWE3lpDfoOc+XDuPW+5DcY8u8hEmPk7tGRd/HFWBxqRkcIY0TeNugQt
HiFPFsNyLCtt3aALh+kspQzr+hssFFNgjjNU9OUxmzm9EzRWq+uGNi8Rpdcg9FT3dQukBAOAw0TT
81lMpKbEIsMj/LD2Im9qtNpVCFyGmUi7KAmo+t17cdHScgVRhzXAQl9JBxD9kgHsw80s42HAHxJV
7oTx65wLwCmzOtlB5n7Qqis+okmm//ALtzBuUyUaR9/ezr95Fk+r/P3//d+Xr03RQisiaHzVP0k9
xr/2NPwPVQBE/plo8e1P/iRa2PFvUBgEzqrkWPiSe38SLSzHQTkS2UjkZChbxpCu/pNp4YWoQ/JX
9P9JfvkJMccPU0MPpoVruFIhNUjqItG/QrQgaPhpPxfw5EzuZywVbe6HOuPPCULThwNOp8F87RQS
fATp0kxPjja8wIXwCnH+yG043kI6lqfKberG/qCJDByie9kMT1g2aDimplTqHmqwu3IukdRqexk9
YvEDNBBHJgwFnDGRM+YmR9+bYQYiv7ZizDfPlKuJn91mulAjifQ07DY9tlretPVatnucLwiR40i2
1whSLJcs8Mm+QO1gvVn9NH0C4ic54IOPiHhMp7mbwiyxl3gfi1Jel6Yf2RBdOjshKvcJGQNEtooc
ObMdoB54VQC448NM8jcj/rXBqQ1qdBS2ahIvtnRZQ8Sj002Bo686uLk5LUiIUCuIvcyu8adFB4De
cg2PPu6Ki6DJ+vA2piUD6m21IUNbVmdsxVZ90qpCWsAy/ai88auzJEo/lpsKabEArxh3rV8iK95M
Kf56IkVOf17pfwdAGk5EkhpC98DGksnVRXEvww13qGD4wouePmrMrZ/TDbYurdwebVhK8HDNUyV4
UD+1R/cjzbf+ehbQ9Ac3UAffqTAzzmTv0GZV17i1OvgF+uF8sEmfJFY9s7gIwNc8x+W6XHNOxgNe
ckDPjvmg7Ho3MdXxksPQ7gGPlIOLNFpzgpafsgeLhZIVDge7YijhsAtEREJ6lT6CCzaEMjTnpuYM
Mx1p9Gwao6M7z/Nh1hiH4Yo8AY10tc1AZxKNY1MA/yNMC/tlEw7iaoLVeDSiiwcbMtpL46DxcIxV
I05jt8hHp1X5FRiF+iMwy2CX2uSPiQQmd66nPLP3rgrvmmZVREmA+BWosj6RVPiYNM7iTPgB1hjJ
YEt1oPsY3y2il6gdKqAOvZ9hj4lO9A6jwAoEiSckxksjIoml1V1Aa3cvdBM2e6pZ6WdWgyLToz/+
BRwxCtzroKfqlOnefUrrYryYVRMe3ZoQdxe36fAY+dOrDVprP62U7lJQLTh91GuBn7b08O7LAB0m
WRA5101Aigb1OPqEApJ7Ar0ZoCUAB8HZi8nFSRfdPG8/pP2TANR025Nhf6l1k+7HPluf8atrzumG
YF9iWTbWbXjlALySFiT5bmlve1GWsMyxGDJqygXq80NlWrJp9z6AQA5SJ24vWgS2P2gEKdFu12n9
rvLxlgJpJU+4jNLMj5iHYeqjpOFX9gPAiTFZgafExw46NImcAGSBH2WEQZ7Q8k41aXyEv1//3jrV
eoEOaoe9Vl/upmWNd22qX0vwb3tvnedERAWww5qzvvPdF7poH/CSEFgXZIS+8eSGqtr3xCtZPe9k
n8sxuJ8HK824bCUQnVL/PhV//9+o5bG8DR3kf6YfPnajzv/P/qXq9E9n448//HE4xgFUQzSTRRQj
i/dXFiJAeP832ySZVMvoBASmcvWnWJ74LYYIFcM1RETJC//rbERGD2Yi0EriZycABvcvaeXBe3p7
OPIVLiguotEYmT/HVDP/0sKK7aHVaQquDbL09IDZKO02X6G5WdMFCEEO7u1tct95dQBbvfO3gzOt
8QXiZCBJq25+WivKDiDyEGjodXRGQgdzmrTE4aPFHDwJgzY/VDp7Bw717OPEs0tRB0p8v32ex+p+
dn29w4M2SixDdHeCcklSIAQcXtgCYhuEVC12hu6jbnE3kNI1fopZcws7eXhqvTjfDaH29+uo2KWs
ESSj974EmeBJykHYIjys8arflV0gTrT/fLro5di8K8ptvMQQqb9aw5yEDVkoIFxoe6BA1S7X6xyE
F022NIey3PSlT/521MPoJWXVbQH4adu+xTLNRenPX9P9tCxwtdCWIunCT349A6SzDzZFsUSKXlzb
KjpTcHonbWMUBDrsBizpFbrHzb5cYvTOI+0e6Cysux5s+hGliiZhwnQHzOrVrkfkdFfMgGErTyW8
rOZq0351DIUVXjbQSRJyiIZKUki53s0WvMZgEQh2NazMqnp77EWLwvyaP8ckAe9JQAJM5MPpUwuY
CK2lPt7bNHvTW6lW1z7UXV6oOOmt3LGvpjb1tsdWeVU1Hgq6N9ZrRT+KA70DYrQdRzy/1I5W2bAl
tuj8CTkJbQzMBKLApArRbZwBXj/MUe8tO8Sz+/nUuIM601VfTmHTkkEUjh/eLU2r31mhBq+5FiQ4
lKi3wZvQqC0ERiPwRkrQJdUB+2fYUnqKm3pXjn51a60FMIw9Gr0AIk5ggTalbqgYFFaOX2SHCgIE
BG8a8CKS09Ju7SVqLTpQn0CgC9zZ5UwuwW5cWCUgc92pcn5IddWc2h6bM4oi4YYE6jFOc4zdEVOR
Sr+LByAGwfvZHgf70ZrWIMoOVlzWTZy4WTMuyGMT9C4FN0CkYC83c9EC/DvCGWhH7Gtt5wMGY8vD
vPQbkA8wxKa46hAcVBaGGTjfxGlijQNKEsU6Wahai6Lau1uIvyI4reUGVqiNHmzcfxV41dMGw876
HW4RlkzYSXqJIS/qTqlAYOoWGjDgzEau9t02zcF0rLFUSznscwRMHI0sDa6b+blra+tQbKGHRFw0
4hWZ5giSeJZaPlTY91U70QceHULf3ddZk931+drfBT2mvHqS6EbnmNBBgpX2DZ5+4kCUaB+Wtt7O
VDvkfTCo9jleegomKIhgxQZYezAeWI66gMOSXuRRkGIIFVqwLQYdVrtMY0/nWI4GdexgW6SnrcLa
Tnh6pYmB1nFuD/rdOIXtfY9Z2yns/V3uTOIuLqeM+EMuV7KWLhk12sSf/p0m/m8ORCq/MZnd/3wg
3lX1S979bCPw44/+PAz933y6nBR3ycfo2vxFOZbqMvkgcpboI9J5oEn3n4fht0wRL/qQE/KvWaL3
W+AIIdDcpFbL3/1LaSKAgp9PQpoddAlhicPxdh16haYs/ZeTUE1VhMOI01/62lqouNcI5+Ej5TU6
IsJDGuRCoLsEa2OAzXOoVDBaUOZF+bUGRQGEd0GUz6gvN3GRniz0zdTTCCDoKsqw5r1HC0p9nlQR
fhLokl/mTlZf4cLu7tHOVPse4Zfm0l1SsObQBkCAle11CZOo+9Si3ndDf1xup2Z1TtmMK3yG3Lc8
NtOsAFgWqxedIxtvdqX7Nfg4zXi3gZcS4R6P8vy6hDvjH7wAe94EOkhUvEzayj9yZA6ULVVXZUc5
jFVwrYWd06mk24u9ywhLJl92DcbV3nyLLXMQYdLeY/AIZWPgcfNlUCGFQ5QO0zM9DU8tBwpEcJUu
W0GPlAqtS7FPoFGN8s0tErnpOO/SmvHEKHWF/9snKZIk836cwI3Cc0od+3We62HeOA4LMdsg4AZB
6t2C0K2wfwf6BcJ8bClCtRFN42TRsW8kCKOt90kOSulvCcpuWStJE3GDYicBCt1t5Veor+sgKoB9
2Sr24DgLH04SiuUnt1pSdUs517qw51bd22UEByi2vB0wT7UrcSW6yIFZnTIh3UcwzOiLeQPeKQCU
5wcQ/uIYxHJ9gZ5VHeZ6NF5+K65AxrBzMtadCn+ZUzf4zUXXaSoM7cQRCWoYu0/AfxcR7iohGLhj
YwxBvSDP7uiNoI6V18seQX4siLXwdkgZdhhPxOmDMtaiSC5gslKlNUqG1iTv6jJ4D3I+e0AEa7if
8yl8oHUxfcqbaNljUZheKpkvD8yHjuyvK57rYUEJzO3WD6gVWKDsxnFCPdJN97NTmBS/Sp/Ry/PO
Sx5Yd9aS4o8KFyk+TqHyrtEmRx+/NC6qWEZUKNz2EZazxmEVKnf7OKzIAe6aNM+WRECBArzbqHBJ
unXbLlrl4nMf66E54JuqL2b8X06AwLJnHJC8q3gLyc8d9FeeQF6hSRVJlWLsWan6DweCTQ0UcqMw
nUGeP4AF3miCuuKetDm8ULN4opKzH4gOEIL0lvAavzHoQoCKqfiQ5053Y5a5V+ivd2f0CsadLlfe
9Qid+CGvg/YZtG17AhQpv8xu/sHp8a3VdRRd8qabwyoh766DjG42xMseUoqll62/KAxove3j6G1N
cwSX7b6WnbKvrK0NS6I6L7yc6yU++qX8fYr79OwIuz/kcJV4g2H5CFd3/AjDrP6wQl/64M26IIDr
o+pDb7WgxTFLPweWphRKle0Qh7j3UiW9mjuiPwQ0axQ9vfWujVtxOS9DDIFxrUq542+tO+w4IaQL
YzcGl7q4h321XC6WXFTSEVIyixHBItdGUqzQ1rD3LZxFO0AKWE3gQMu4gJcN6zzJLJt4dpgvOzvG
iGMV7rMfWt6dttT7YlOPJZ2lr4vosBOwYwh3OzETjSQuRfanEGmzq8Ze02vwPbR6yyHdh0V2gbJF
eGOMylgaI07JxjNZKLt7DUYiHDlv3b2XxtsXNDdRhHIsDGWpaskr7MX891nuiyTAuN7fzU0PLmmL
sxsYyeMnTZUBMk6GalJjJ6hoUH4uF3VJaQBPTyirv9ezi9Da1F/j9DgfwFQu+3wavY/UTIozVEs3
2mHXsGJ4LpFCoXY47LR2acVVfk6bol+so+pMSxZxqe6hKgdU9qV24IcCsr2dhoL2SU1NBze3Zi6X
M5W15V03+4iBVtnsPULbjL7QeLaA2xej6yWAPuJDmuYr1BbkSJEJFi+jQHkrRvkVhpZ22OdG21vu
MwfM0G6M8mHnzr59g3CB87Q61nAbZug37bLRmwGTUzRAoiy/6JpoQiFudaJr6Njd7VAMFVNUdInG
fbvnzHvnzMF6AQNkSPjSLMnKdLgQlYS00PvLtaVd6JKRjF79Tok/Osv/WsjevXZCQMrJaly/67iE
qUghrIATczMveXQTkzNc5zY2o7tye81tpGSAqnc70MvvO1s9EvvaSeQoaqMpvVVAhfmxcDB9tIst
fugd1R2swM29BMGm4ZxZ+W0NW/6IhEK6V61yPsC990+oM+Lt1Yev5dZiieGiv5j3dfcEQJwdJFcS
2b4KB1iVivpG0MUmLWqnm65F59CajRFdAH7tBLaze2DmNntE1+b7Yu3U134ZLPRJpFMT9vjRcxak
/iV3CCoEClfSCUl1rK5Ec9+kWEdAsOou4DK5CQiqZb8OdnFtqSzcofzYnTS05L0/LvoT6pj5vo4I
vies4/XgfCl7WSUbx+P1NDcZtCvjNe9HaBi2Q4chTJO7yeotwx+ON1WH0VnHxxJAGV2XWR26LALm
EKHN5ykrfSwmZ7ila47nX+z13EWBkS/II+dQIk+IHY3bkGmr3LqYxytVYM8r2vmLsv36cw/5lV5P
VH1toAQfViwvcRyNPudR/buqiuGCZCCE0lVRfRL8P+h08Q5JouA8Fdq+sMva38O2JpUBC4vboFW+
xiXuMpq85KRBBe58wDTYwmIk4w5lcZS67C9GApLDCGr67PndcAwXIi9AQoI6fD5dQWapWUeLBBLv
oA1ir5tOFlhacPyG9lULfDS596dizJxkXPPgPE9enxQCeiIy7C1ujTtbUj4FvPHa2/+fvXNbbtzI
uvS7zD06cEwAE/NPxIBnUqJInUqqG4QsVeEMJJA4P/18kNv+XeUeO3qu+8YOl4uiSACZufde61vy
2gG7xb1apiuQnjuWaC2YLO3FSAB6YGxPtkk2c8LA6rzJ9Orsyubq6gopS72bB2ZnOtKftR6X94De
s2NazdG2xPO4hIuSzQkDOLDj+KjmPNqGdn5rFZpGuTgOuxxh1p6qh5BSCyJyVl6mJom3baEnCySz
XIl8uvp9ZxByk9HBbiXiH7K01wTyeEsT1tiVNChYhF3rjqQaQmd9zX1sIQ/u5zSsQCka32o86Rtn
SouApO0iMBPpsJFlMfuB1V0Hpt3vSYEOhlC4MqhwSIixL69C6z02YwLxeqczVrovu8NYNP4+LSMN
jcHsHYt2uuaJ8xUn9K9Sj/+M3P5u5LYEYPxVLXUoP8Ab/tBXpCZaXvPPUopINjSNyzx7IZGxk/4+
cyORDZyi7yOL+32w9ltb0fiH6/iQHxdBz5LYQpH128zN/Ye7ICF5mY8W9d+spmz7RxUkRoWlhOKn
LYxJZB0/h6V1poqTGVvygRYS1VSdQwtOQ3LFOiDbaDtoKkJgVtOMi0TrB7ZF0yAnqSluZ1Za0mcN
JEahnvQfbmcUdzMxYV99PZ0qeMAZGEpeVazHKmy3xNyXXwsHLLwuDPOuSQYSlgE+W7ezkXsUBGmB
s0T5eDYT4T1wXM3vG9jHd3r/VlQNTncVZ89tr9MVyhJAaXOflzMiCzm+KeYKI1MeIimZe+M5W49+
SS/LAvuSbaSos19iLbNolTQF56jJbLDXYkA5oK8cFdWO391G0xhaW5QPs83hxvRsmmwe5uHG8lMj
SL3U2tV+zPM3xmF8Y6Vu75Fo5SYuB7hcWCuilKt3qaR8rVp9Br066asOjC0hWmp494q+fAXgCym4
96LphNulvpIbG72ZsWkiXTcrmOXdtu8K+jSdqa/GxBvwto/VxcFO7geDN9ZNMBWDuyNYKDt7FqZ0
G57rlqkee0h1cN2how9L8khfdk0gbJgbZuJejFr5pJZbxfuocjAjY+FdAIDJA8au9oFphmIcrfC0
DZPFSIa9FAlbVh6dNnKhP8/dyUPaHR5mRdXdAydguY4osoPEqd0bTy/McoWnmZSgQnYP9PsoxzqD
aF3isY0X4qTDl5aT7EEOBD8zb9VuhpnoKgTpAgPSZK+GMZxv5sjovkC8kEQ/+0SADKjqTzFJu98R
mWGpjtDgZsgr7Piut8t8I2t/SX0ffEJv6WX0t7k2NkbgE4/1Vi/JYpEaa4dEWnjhgZkO6iuRtDnB
YiE00QCXYXQpPVjqezRHyX0sM+sLfcHk6i+n8AA9avNgkLC1pQdnnwwTz2gQd1VMJAN57MFUybUJ
QXbPcBSfBTqKlWDA+6qVUXO09ML/NjSD24B3KJB3GNbgkXRX1/69T4YS4scWi+JLGlniEtugXoLe
wx9Ki3PO3m2qK2gKMTjfiBhPJsgt9vLCKB+5jtkTGJX44o6pulXGFB/dxmRybFRDfQPgj1GomCI6
1li4HuF16HdERlRqrdX8f6OK7Nu6t7sKikUhz2lJ4wFPc8FT/jLC8CGUMQd7w9E/G02EpSSgJTr/
qkpj0SOPfj+l4n4hQej5DfbwEVO4qbAQ74thaRr0MPrvJzb36RiD3t/Xg7gYHrxjabvzyrKSKJiw
Pj6MOU/PRo1d/kqmFa3CHKvu2u1sX5FFb1arEmvxQ4dcUtJoNtpVi2VrFZeJfrZlMdIBEfHOrtGW
0uEAvQ03g6AKjl1YbrgVeV7uQwXrO0j6Pn8aw8Ei0q9r9fTi4o3J/bUtASY+2LMaigZtlSgdotNr
bT90zbONR4mt3/M51DXWcLCa/kirQtxW2BN2RZvRW4W0s5NdMV1pP5sQFPI6qDwnOniTyq9DYzX3
OeXEys44QIWWnzOh4UKCfKPWRvxn1PG5SHk+CqJZ9Ta56dMjLW5+kqXVuJ9DvPSJ+SrC2AHToh3T
1Aw6bPmIGwzFj9GG1Vgr+znG73IIFYHWBl8LzkdP3SW6/ep3MloPs+VTIfbabTob4T5aVuup07+U
Bh2JMKI4yaaPRvWnduY7DFv9hHWpJR/Xz4iPVfHTaMUlKJHq2XNJWS88+Q4ZKd+MiXkPgsJfh2Sp
RVZzJ4aUvlldvtgh5T4eUjchyrfQq4d+8aUWIzEQg84YWR+yfm2W2JaDjoJt78YGeXWCCVLXq9qF
xCJu68RQx4bYxjYNGcD7Xr9DWWevaTAguUL0qq9dP4uPnNnthI8n51c6XOrWRwm1FYMRmNxGJ8HV
vtEjktiZNpX3+lhXO43D7c5ejqbtRGgvsIY05P4xyFdJHHmtp8m/t+YmY2CGZOuaaeNwJ/zmw61i
/ZglkXGaYcxtNBIzQPc7IzoSxCWI1Dxuv0c8VSTlkfazrkfH3Mww/NaRiKZzDgMqmHoD9EFGmobm
2Ops+snVabSaRyKLVw020nPRZMWqQdTy0OdheHXM0CYgg/g7p9LJL+UyAQ4d1pmJ0Ssfw7dY6fWV
hILhYo7+eEoaZd0L8gcf8CIXq9YSRyLdyhV6ZlZ+Tf8CyqYOYIzXcLPHcOWTR702M/d9GHvFMZlg
5rkbp601zf62I5Lzu2AMcp6Hjerm7mZobSsnDELZZ9YY7SZtE9cEYVXU904e5+saD/UJkJ61cmDq
7TB1xu92nvNs+XQhcUR199yE+RlCRH5JndCh3hLuJhGzWmM7ubi2stetmTaHYrasSw7Cbq11k7xz
BuOr0zdiUxta9lD4dC2c1jW/tJVdbxXEc4M7I86Q4fW6WDGjKrdTYjYamQZiZ8gmOWm98LHED9O+
9JLxIFq2SDo64qDlzFp/1aT+55z8d+dk6pa/Oib/nyYDG/SmfpSzLa/57Zjs/0PYNLZIIbIxPKEz
+/2c7NvMDwCAMj4gyM77HEb8llwslhg7zL22//vp+rdzMmMKw+BvM89n3QPg9e+I0yCP/jR1AM7H
6GPRxzHL4DflRP7HqQOMGRNtSWcfHKrtFXhYUDAlQR5zGI/HPKpJb9Aq2AIV7agPp1LujZPZNbou
MjLu6ZrpQaek9pYT4HObAbkDahBajwJ1C0xtKcp1pGz3HOc8jVPaJ49sgPkug7jAhFsYXysZeiB/
3RSyvdi0k6p/wU2X7iH8knWPW2mkjcTs4V2X5MokYSRwJY6Z+YAhMDv65HOcQtfKd51F7P3YlreV
s7SL8rBYaymxCeTfDIcyKcD6F5qwCN+JGFvXncw5HI93DOHzncw9/2ZSUU/yhhjNK7QF/wwVS781
pkS/RSut9YAerHqLqDbfMbeOXgw/8c88uhdjFN1taBqPNCwwSgnANWVt+xr5utL6jrI45hwykcFr
gFxkIWzaC4NwTk6pCyrIdjilN8iVdk6uy48BodzWYt4d1EmD+q2rsqfaTkUdjLmd7tgL072v2nY9
2EOx1t3JwDhidsxzk/Cu7djfW/J93oFvTC9l01nXKIPvaE1pcxZWOl6Zb9GxMAnQqUOnO+mjqH8p
rG4kdiVyt7LP+51rZHyMaBwDOysh1JcD62Fmdx+abwVJ4wBu8+XJLKODvcAzugS4EL2Kcq2cEGGB
LA6apx3yzM3WUV2RpwvEb1fXvfM98tMqUKywp1bYw07ofngwi7i4YCKekZgxAj/iOg21jYXn5CRp
VzxHU+K/usQ/bRAkyiMBN8OD7If60Sd3glmv0G8H+l190DVWQkKUrW7STs8f7MqWuwIhOOUF54u9
M+Z0wrPcsq4zpc1tFNnzFrRMngek7GJ2SCT7JRlIHhWD1d8IGAEXOlbuEeuBCFfpbOfvHUKLcyhE
vp/GzjoJ3Lm7QorktfPc5KWWsQF7RDrXAhgUY4tpPIOFsE4mzc5901XRXUuP6THl+LIaC5UfCq0j
YSYcQgRqjnc2a2m+lohubgn6yg6JQVAbJ3ubkwbxK0jwY+cul8PJjAeb27Fu9prebpBat2/4o2mX
LTOPjSlD9622hm9OPRaHaJJ9UEDUOlTQzghAoZ08uaX5bNnZ+zRYMlppkW2+ul75WNHgeVZKTrtZ
L/VrFQsBbywOtaOjYXJHkenp57jHqLMaNFG/qbDh3BllNQAoy6K3E3oxXSJeFM1J/uQlegHzGxah
jnf2lEZcxIGj8oEULLEGnFQ8uJZqf4EV3DdBmxmPMGoOyMjEkTP/Dt4A1BLBXh8kJItcGevm906Y
78U0tEcRzuXBzgivUZLIro7F8rWt/OTgOkXITknz0VUEKoflmN5LBeV85qi0sjK8BnM8ZQszJHsB
QDU+uVhSrtIsqhUX1NVht3EQZogkL6gPtkMu6hMzGC9d+f7WadNiF6pBvwWWkO/q/NqHZG1pi2U2
E5ZxTfXI2pdg+tQqHwD0lnrfvCMa4DcBgDfoo7urjGHc9LnRkXKD/vildcHBBVKf8yQY3KmCijJF
dzO91502tjPCxslxOUuNwifIe6D/EE6brpzRqs8VDcW17/dPEdUmNU6GTSdHoMoyh1Uk8CVDICSo
8nYqQ31jGFRmZobJM4qQJKKrIPxXwNjzgcauci35knmDfsh1pW8Qd9YUl1n1S05W5imsYv/qFJ44
KOWMRTBD5rgyr8nWrlvSxJXqTaTuuEuRnlx0JQoI2oWln3uvos0eFjOsJy8XGxgw/jNxQ/p5plP5
hfTx5KaYe6LNWrFnR5xXKDP6M7FoCbfSkN6oVJScazX/hqSE5sLhub5NIVA9a2GSnxHoyk1lqGhr
+BW9TTOWG0fV1hdGG+ZetHzKJvTIaxpT89vsRt3tgJPpzbbqZXPpZvuF+jZ5gh/W5/RPMx+UkB/t
OtCJUMqiYaUZYXwxDEwhA4r0oI/q8QHdjQrK2JnX09RKqj3TO3k2cmhsUVWMZCcduNFQxfoadn6u
LMqdKbK6XZmM7ULPk095F+4SQ6YbQGfzJesteyN7uIjMWfQ5XXVaaQdONG5FXfVno4/Mo48D7utQ
m9l6oN3F1Iztli7FeFKcS/euAROE0p9xfCZEsi7KQX/JwybcszJBQ25NMmOEcyHRUnunZtWPsvW0
LYRJdQfEPj84TH22DHvVNZ8G74k+fLg19Fp/iCmUeTs31FbTpImthWr33Ez1L6Wap3d97lj+8XHN
sBlHm4wmazBoMXvWUj6fnFI3kbeVDUFVQUfIRaEtrFd6zgU6vesi4WXvT9PosXM4iNBcqfNphayu
vdZRne8rwqYIvpA0/YNZNXDJ3dCraZvI7NDnMd3ucdBuEpO5qFcWl74vCZx0ulencZg1MADHF9kN
3S9ZK16hob7pYfcd1NurV433pTEj0J0HDJFWXRya0p02EPcezTqSRxm77mMvM/M5g4b+TnrJ+AWs
zqvXl0LjVk9gGmdHCZFG746yVnXf7pC117O45ahVRqQxmVDaNsmn9GHxRt+Mix6i+5RG1J8yCSXC
792ndiL/1FEQhY2mQuuRV4SVvut+VVws4gvGXegwJAsoZ6+Fs7nINGqKs+LoLeKNxZ675pCXnYxo
Ko/dp8hjcuqv+Jyi9BJi5zu5sWOgB6HNF+5QVuYIRYg9nNFRRIuExKPW1J4ccFrOxoj7kP68lmQV
fKHEWpeaPu1AI5XbXqgvJKcPQTNGOeMQrmQb2V9GzRz2IpHkahVtRzFUjls/dzlO5vExaeybjjzn
iJK1coIsYpfR3J7uv5k8lXOcb2Kg9Ud2EO0h1pLoZiQDeAV5eTojKK/PDVfzOLdIpuNkeLMJRzk2
vtAQZ2rdzijHKQDjw3HLms0uoBvcnBLanyE8REFEHQ1aGJUMzTO4vTslHB2Iq30t5litU8RZh9mG
RdiFIQKFwkyOrR7dCINuGqNuSeNJ0IGM3PprZ5EODNVv2iV1T/5gizpOi3QU7klebYbQlhiKYhqE
Lai2Ff0Eb9/hb8ASbBY7Rw/173YHd3RFhnIyJtgtLONDeKXwvii9gyz/joCyzpynsLYXsyMMiQSN
4Wdp8p8i7m+KOFKKl0HD/1s49iVR70TkJOUfy7h/vuq3Ok78AyumSaPDBK/wYx23BIsTrECFB9xh
EYn9rhyz8RgRebAMI7zFt0xky2/zjkVHTQWHw13YEIxRWf87ddxiIfpvyyjgYPASjqWbNiZb88+0
dZz0cdY5sTiBxSEUqDDGi4NTYz9PKDqIeFMOo57fv6DLrz/6jwEp/+oNkYwTR4NWBI7HT2UjgEFT
mrJwTpZj4l7oB5BkfjdeRE6CaDQp428AGoyT/vQB8WzyfYG9our9iQiwNJfp9bv2ia6VeEt93sBK
U+NROQTK/vVH+9H+/fldcqm51gyP4fD8HAfWxEMcdZlhn7JicN4SF7Q2qBn8wMKMjHOLzOPZzVLj
zFB/vP/rt/4Xn/JXqT7mM6LBfsb/DHUG2Fhr7JMyU/tQetIwA9p70H9p1BZ/YzX/yZj6+UEX+BXD
Njgs4L1+uoYjrLfCJdAWIQ+DKzCQDXoRqIk5RLHWJbe5tFIZH9E2IxuZmrhXLxAgQTiP6JspI0v/
5t/9+ELnZoLDBfgJMM1PCkiEwGGX0889ebg/ixWE5mSna4QA/3++F9MTxyKa3eDG+emGQpSg5/E0
2XgHBuPc2Zr6cJm13dNXlL8Kdt/H/xl9q/7Fs7J8jz8+nPgkmHU6jsvxFwv0jy2WpAWMKyq6t30Y
f1cmO0eHg+hvruafbx3eRDBD9/k3q9RPFxOHve22Zm6f5oz44tTr0bBBICTZds4IEP7rC2X86NpY
bh1BdA9qL2SxfIU/a1W9kKCAWTOsU4oZlgFAz3sa8NnQFDZKvsJCd95sMfGQJv54P8UtKdk9E9K/
+TXoq/3pm7VZ9kCBCh3X/k83DG0XQO7gBk8jHoajlZUG4Xah793gtuIOrf2CqNrMXARMc0ce8OfD
60g8i6wgf5d48a+uAO5O36YSAGb1M7Qkyzkl0gDh4V1yi3VdhyJKB+dkS9J3//qD/6u3EqCEsMuw
tYAn+/GOYsYAFtutrVPi8PX6fsQjiziNpd4TXIm/frMfl3qWb2gERAD5NjsL1vGf3wymZJUzWdSO
4aQz29GQGb+WgCleZya3pAVOrA5//Y4/xd4sb0kUq6uzBXOf2X9C6shsRnFtuP5RDxsyZIHoY8ZB
GHkvBm1coBRcVwJjySb2UvMxiXikihG+NT5POay9RNT7uWb7+1xBcKtI5pqzias0jLXZwOJQ/d2X
RJv9h3sRMI+AFUIjl3wW0FJsjT9ek9IbU3ssLPuoCBcmXSeet1UitG1kADCFoVxAdlkR8NlU4aoC
/CQ2NGTFtYESTP2S5vyOKNG4kCHwog9kOu3HSLGOUDWeea4W9lu81puUPpVjLM5aI/Ltt5qgknt6
FM1eT3kZMBTr4MKqpCpITeswmGn92vZuhQrcto5NyhcYIM6cLlGS05rB3+g/o73RIDP4YW3sDUTK
OBzduCG32I8F+ImG4AxUfQmDh7yseQ+Pb/rTpV9jfdQDu7exTqFtNM4KLBS0M9uQrxOZt/NOC2df
HAdpVScmw0tebmOU8TED4PORMV18hV9qyiPQkemeGeB40fC59sEskVh8NYiAw7s7W4L6bwB5+Yy2
jnuvzcQbGDbudjs1nbfJgHejSF9mh+6xFRdTZr5LMpCI13Tr+0bgmHQGt16h+MQixPqLQwy2CDuM
MaFd1Kyah3T0vBs7pMdsjTbfaJiEzxPqpl1oWYppInxRoOL0qCjsIhK0QvdeqQgKc++oD+nbXKdC
DP6zMTbqI8Nlix4Lr9VmVqGBupKx4nMH7EtAU52sA/k9/JQinWgbt3xvdqcj4Pzc5Wh7eejhl/jX
qYibdA/nqM0DepXc2XaM9iEoyml2j/FyMNFoulyiuvBv9NQc77NqEsTI6pom1k6ZG2eqau6ajKL0
zRVLCPwEc4zwl8qbUHjroSuOclkvtd6t1Y5g0jrfEdvDLwPyalEuIsn9EBV8Ue7giGl0MXvGOdaK
nEvp4EygVgXsvHYnm/2mzUJUokCluZfJ7vCflR7yY72WLtWooR2Vhsde1OKwGbdTzr6MVsJBfSqt
aL4lGWyOVkZSOG90N503EVM2BqpsfES5k9E8UDma+3keEG+YkbC/lhT8j96cTLd5zZi9ViOZwCnj
L29rJHpzpDLrD1GOOjtQ+ThCkqVhttaJTnnMAb4PAVg4FArwoaezR1DYqbDjStKbwPuaOMpajWQ7
rCb6cY8ZPLsNIgkpj5mObLPkniQdBvPitZUKUV8adsW3ymna754949RgWntmFsnUfhoX13mHl39Y
zTkL16AzvgtabZIvcG8btVXOJN7H2TXWsOXLm0oxct3qC3yCNHiZrLFmoQivuuqMu4i+Er2/+Gtk
aQjeK2z8S4z8ri6n8GRMrVvvPMIhXmVStFu8T/NXEQ3V0bLxHSAptuevZV5nG8chGUnR9WrWBBP0
KA2G8it8EvDWZU9pDOHF3S2HUbUYC5W5bgioQ2MbMwjh8LItPLNdFqYwgN4W3neZ0g5lVstD2sRq
Oznd9C2MqmFDQa/hgayKlyTrbdKKEVbIEkV4SmphgLPuDfskz0cya2ticeJV1zfGtpAVP8jTzvYY
6yz/VojHP2us2FgLN7eqlmoedoMTNML1IibTapTDDSddb4/xB38FASEDtvyQN4IkGCJ9jeKDB6ht
BdE3Xs/VpG3o+HZPMhO1ZNyttp0DwrGM9ffcVdWLnydol3xj3GJtttb0MXSw621xZVeaaUaxvN8I
u8YBHelcUSKE0xtQJ+VFbzt5QbPOTa0JTmRvU9gaZ81MeSSUomLYVJJ58IkoQg7YJiOresVq235E
jc6CVM0+Ymp95pbV295/btwOG6XXjQDpFz8M7h8sLrT0sTrMK9OhLxQa9gjWrCZNYyJDmMYE+7HX
OWESIE1fopPz5acZo1S7LGlZgliNOZjJitV2pI5S0Csx1fdk7C0ktHrVxU69t0cb3bhjZPJVSm7b
VeX2dIvIasxfzaqG79JDeUAAVJkVz3ysZPHVIXxcfmfkYMNHcdtwk7stlO/UHr4V3lCjfs405wuK
cv/QxL7awzaPoIqNUdIFuZHGv6i+faMzb20c6PPI5yeWj5d8xsz0kMyoh/aeGXvnvkmTlcjxY8bD
UMO4IP2CBqB8QoBfEG/o2sNT7zTFPfiF72Y+v4ymbdxlrdnuWVfB3ph+023sTpofURtHH3OSDA9R
53LleOKRkgPb9AM7clF69XGyGGNz5R6JLFEguYccf6wSrOOrrAPTuW9RDZ1s8pBua9UiVpiJtAya
IuuMQHAV0PrST3jWSvyfm9Fo89uxaey7GUPIHWbE7p6QoHqFml+9272Wbyq61r9UvkC/IuSMLCA0
kZMpz0pWWdzQiO7mAblNnbNc+KGzTgvPPqJN+iWU2vAwtFF2NbpOv4W55HzNBpFFqyaH3moDyU+C
erKis29PyW0D9fGokQUpgriP1JuZYGwoYABvyoTZIN5vDQ4nJplmZ7DkbTUOs/16NEwTuTxK3HEb
5yWT3kxKpoT4dGUS46+YuvnaIrwP/D4aXuFK1d1GV8pOjmMyjs6KgYAGASVE6X0Woz4gqog7tV9E
LDepO1dPetKYPnbsjsmPqbk6bG5unvPADv/d6Gt120kJx52N8FSmqsjX0o9DuD2gQg8xi9sOt4pB
kgUnC20V9W5/BXkxEBqUhijmFUveaza20Nen3LlB88MyaulkNqxqybBzTTZXF8LcqsxbJjOzE0x+
bXgbL3dtFkRj+FaZoguZVtbzNiL14GDbtbnBnj7vVecm96ow6idU8uqZgE17048z6vqUlh/9SJQv
ehyTWz+nLnA/EsZXRjjHH3oBLTBo9YnWr9Yn+drmq7r0M3UKHla3WTlVmNyBrRqf9GbQbp2EgKKA
IZe19bD5uUEpS2dbK9cZVpWZABLpuHe/h3k8fpGgId8HJ3Q/kKWiMNelIA0PuSSCzZSUxobUNKv6
PrdznaybeJ66vdvK7048RheCoPCUI/lpjxauiiqoKrzc8ZjUE5kvTbPK2J3vNCRhG1MXYbv2Afcf
mUUxPdYhf2D56ezWO2Ud00nNdvuXWExVt3KjOb2jOc20LZRlflf6Ofyx0hy1awwea8WerQx7X0hc
S90zoIoR0dBnifGfXujf9EJNuEF/qWg5Vw1UidVbU+XJj/rvf770nw1R1/mHvWAgQIHjV2V4RD00
fFPtf/0PDWm4RRPShurwqfFeiKl/ELbQLKVyBWAP01vwqv8WtkCaQLNtWr5D9wuK0//+Xz/0WNRP
//3H/iSdlZ/qMaiGJkMD+MLwrYkJtX6sxzhi1mggFVKS1lv8fIjr3PWsIk6rZt/4hHz1kmXK091Y
HEJz4lEuaWkRBTYrjm3MoYnrQTteMAp0qqjeazmj2yZglSh0bm/KgiJxvJspjO2DrNjlKye3D63d
sd1OS92VS4oxPCmciYcULBGb5zgExcx5myULZ63y2Fz1GfJRnyrKl4HJ8Q25RPZb2fTGufALnBkV
4yTB9Mz05M4k3LTZqExbXmJRBSMuT6aLWbeUF0zIzWCQ+nLCVlSF0ej4z0VijPfNUgriRcPoZMnR
be4is8yqI8fVyjuSO035RD/yMS+LpayMWTeNcmkpIMEYL/gMrY6tzudj/FromGZEuYn+/lGnO/zm
mixWFQzBvdXH1tNnV6C0aEMrS+fEIArOGNFSvgaSrNLnFOJasqrrhBOR66ewTKU/q4+0SfgGSrui
nlc0F6xwOeeMVsNfs0cDInHlUOtFvC7AQUlP9rMIJtFkvOgo4x/TEO0vwnTG1YHwRz61nfGeXmbJ
1zzV+ex+7swoRQbdOgs7KU4lKOOzlWnpjdeHRtAMyXibhkl/YEidIRrCNgw5avk+fz2tFSMSojX3
NX/y6wXNCUZqkFWG/rPZLVcYnzRVjj4r9cJKB9dpkCF9JwRLKXodlWfJVWPMJINqwrzKvcQBOfAU
5cjKwbqbrIZU43fEt4DxaJhszVm5mhvBuWoLUidlVsT6l0Yo29oS2K5VQc86T9eU66b3pf9MrNI9
w1iHoz+l4uqzjJ2xO13dnrYVM1qOidIozMfS5gaEVrvctci7t9nIfGo7MdKMlvhg/umi/Ej4TbiJ
2sX3F9M64Mje9twNZrM4sH1cCNbGnxzr4NmEft3mZDXhQ0Sffh9pJoVn2DORD9xBth9I3YZooy/V
bjwsNDCXYxPZUhJYYeD5ES0OPKPldCxTYjZXGVtCsem5RUVgLJ3mSvoE3bgpu7yW9hyvUa/weyfz
AgsrMjpulh7heiyHgjsmNDr1MY42b1kS/RGRc8p9MvmjfGWwOl7YFK1DgQz7FeExP6zFAL/z8T1v
XLtMdlOP9PyzjdHINHz+vIUTzeX7XZqr2KiNMwAJ+RqKfrwfrI6vZAAKehnRTV2K2aSfEKcAgE1h
+8+0WPjiWjL5KHRzjxumc/XqlDNK5g5YHokul9DtGSrXqynuuNhLFycxkvqVzb/Z1w7Jb2vRCePR
HqrwWUv1XgukStmR0zoqaNFQDpBFN9FvMBlzEgYy0MlPCj4OXCcSEklPwf848bfo2HCDaRYPuSIn
KdqEjc3BH9fc7te6g2kVLSQm7zDLcv9mrsVS2ScTP6GSBu2dHGkeo11XxdYlrXuqca3Bb71poxmW
Sy7dvcBDu9Xz1L9BoaCtrSHWmmCElo9zfWyiYTurqSM1g4ciDMwGAQhBq6xYhVkN8f1ENXcbpcD5
k4kBgMVp4p4cSftAsa7R6CMnKQlsUdiHLOthZbcsGUSl0ptxZMc3WNC/kdzo4LXirH7N6EHs8XET
RkM606OLQuEssnwIt+COm/lBMVuz92PHEmkhob8Zs6VPovlLDy03NeMx1OdZkiUNM2ZjlQUjbeJx
6SATe7vr7KUNxfy+2ZOybL+pxGRpNsKJeyr0bG7wScxc1kbl8O4GysoVfgTjsaYb/ZgSaQR4tCng
CaAq534xFC0jpufyFR4zT0QhauOcVNSEBUEysOgKGYWbnvE3T6JB+XS0iUqr4b6E6gMcUrJLYoe7
2+ctmBRSPyaOkdKB7kjHMly93n7e80QC8CJKVX5Lk+re4moKhiAJFadDz5nPqS/LXj/AVLr25C2O
W2jYrG+fjbA8tpb70V8av7Jeaht85+S0fC5pqaKDs0a/zWbkQFnrDqmnatryn35RCVPlYguerhyx
EkqXga8XxDxMAP6s6D37eUnbMLABOE28/VxZqyo2xG6IvfrZSKwScFMUTdkX7N2sEzkqRHwHy/zR
jlvnjVQcf4OOpLgacbcEKICMjkfqTUkAAxHt+rI5hxErsJ/PxnmYkbRSe+o8wbhYJWfzOC6N+A4C
OVmolWMVmJmjjiPE4vevDOB7s38qYCXHKPLDEeiFSvz8Oqf5Nxhqi+ghb7Xoma2U0LjWKbhE5dI2
zxZjdsUz2axjlpgKFr3ppCuUSOKjKovnKjKaI/S7jrHB5A0j5xAAHoyWD5W/bEQKO8FjMkXyxB7j
XYDSID4Im97aNrVFXWcY7dnRlz4rI7TFihU/JW7t0Dksw681hCeNqv1GMY9eNe1ipE15BjBqGIVG
CdtOByJh5clNIf2FFz22sXT67ZcS55aUkCQ0ut8XSfs0LVxSzm1H/zKJHO4fPagCeA4O5oJVFaYd
eHiBBAgk4lqCklqbwkRsghoPTY5AzLqSlVnsDaOm9E9siR/YzqxtVpq9H7igB0lEHY50ErJsBSpo
omFbynjaToJk9/3/Ze/MlttGsi36K/0DqMCQABKvnEnNkmXLfkHIE5CY5+nr7wLl6pYoX6ndz/XQ
HRUVZYMEgcyT5+y9tsdjSaRj3c6GDDf0zhpLTFdymMMgI49tDqXRToEXaCCHGPfC6PILTXeyKzXF
8gBdQq4SQ8xEeJmT+8t4E4MubtYodjEkDx12driTZIVo9vCYEKB9P7rpvYjcMjlPcKbclHGYrbWm
7uVSTJW3kZ3V/azHyiO/mzZt3dOyJDzUXJe2q1ZzdOZm1CJvp3dltxqHJl3jNxlCAGQAnxAtRxey
CqMR2VDrfI8amW2mlkb3mCh9Haj+3vMismKVW21dv//CYGlpq8j9ig5tvA1tMnONBHyTFaNuNRu7
uql1bqvjZc4amd7wLWrND/SI/YXR4yWRKpyQvow2zZw23dAFE1vf69zzwlNiDbjjQ0kccURbjcpo
XadlftEALlnFcUp90iOuC6gbDm1aGXioK20Hk7NG0daK89zCT89Ny9bk3Nl3g0PHbihLCZmKflk0
C3Z4QuJrzE1QYeRBg4pwxSaAekd02SaQmrNPKmu8CfBaWBBWdkgYq62cdwiLjtJqAC6wgwoAcQ3k
8OfaH8pVxGTtYorsm1alJoGRmX4bVxH0gjFp7mlja+djWmBh0qTLn+tp0n9tOjDUtBrN6dCQY7aN
VJM/RJTvtOPbFFJBRI7AB2yUuHh6izySWR/JzuuuYik2rWuPmwij/r7H4vqoxenDoJW4NAw3Qexa
0czVXB4b2vW9zsgJ3IqOARqmYlwiSldIFEkj3fpB2OwhLHwvwkBA9qSnaxQ6+iJUT/sxqqxHv9Ix
nft5PTxQEa+prkEwukrPVmOsx2vACM6HOcf2kpW/Igc8p7WjKdPd6fVgbdMwGVe1OZJQSdJjfx62
GtmzhdVG8EZqR1bcO2A7t10fJ8aagNRqpBYvJ7SyyjegZBGxJpIdoW1d8J3FP9iEkVkSJQHClAYF
dJsg9OHi5IHlbxsn1FiYKuXsCB3tP2pxDb1idHyTKPrWABZdNJxAQnzfToWYrea9UFbTfywcmewn
B4G8V43xZqIFgZp5FhpHrto4ZqLfE4InecStNBfaQdGb60wW0lR531CJBOcMPhAkN/UncvXas7SS
Fw7EniWbl3+XYjV98PraARDH2aU5xGU5qk+1U7T6Po0drzlopYFmbMeqhe7Ts9qyX0eGRuUUcHDz
r/zGAxFUdDnHENKK5We/pF2/gy3YF7Qz+hEBO6M4IsW3boQXH9ZIImA2BIAbejAWtt5an2WYsuua
bTRbAEAZBRvwZ3Z6VuqEQm6I0mQcqR8HKR1tr2ptt9SgtPmotgj2oxBx5sAB9GBFMh50Y2KYbvbM
rFwvWaZlT1nuadRnb89frfls/B/FAi4NeJHYVvCmSPp89qkOxUWKilOhDHekZrJh0skHuMfUq4eh
wyJt1dkdTFcp9iN5KhxvrLyOD4wBu9tWdB5spo5RmK7P8y5x3KYhvamtpqjpEN5TTRxHtomfzyXF
fPTMPJ1RhAawh53SxR19AQOj+f5UI6u0R5dxHLwBshtuYaTgde4i5r/ztvKIzdQ7ZygiGRPaLsPj
d8bRJ4k6x9vhIhFBJSPoaHinBPfQ0EpIeK62tUKbnwTkDzNM2c6VF+EQxofjAG40ZafdZebEWQ5o
Bh9rRGF8N3gOdyuwDIole4JNjKKff+Rm8f9IHZmpHU+r6Kn4zftqhgGjWQ3ULg84kC+VW3TBOuiY
8E5jytVtE0P5yolHQM6S+uT727+9MWsHXv72iBcMm0YvHEnXOE366zzyqi3yrHeZ36XVgtRM+oUM
gonmrmzP5isXabZ2hrp8hLI83pYNHYYy5ASu8qG6TbPyndtv/O5p1GEMoDVxLfxKJ2oHjbDcqWW3
34F4odhzNADSDY2kjzWNGW6CNh9ae9OsvwvDtfZFx6kg65l7bA2avGqJp2E+OXEceftWvRSKzY+F
sOl/mfSZkMK8kiu1IdP6olHRzs89nl5iGKzh0ySmFp0UnKlyI/D1Vas8s5PYWfQxNerbH+A3vxXD
L2P+IOgl+BQnop8+dIx8MptgZw8eAls/m0H9LbQtE29SHQacyfxiqywVBmdNgWcCZEDtXwZZY3wg
QJfBcx5z+Hr7U/3mtiDRs2yd0y0jrtMHCNYHboFIBLtM44RE75YJ1kDau8fBxU+WDfz8dNWmE2cI
rQveE1sd16aXzy+6SunM/+OkapwKu7IRU2bWTdyTMaFjEBnliNmrLmVKQG0ajrbGYbOX1ocYUfve
mE+pmcBdddaJsjCvUC11cLF0mLHhjoSKiih60tp/zrO72z6zqEeOt+ufTvQ7nWgAwjR//605XT02
j/96AiNfPqbEBSzzJK8ev+fPNblPf+ZXB5rgDLD/2INoFTuooCR97V8daFiKf5FWJYA9oFU7wkT+
7kALA/+kCfrRAe8pXmL/nb+gLwI9BuZoI4zUvT/pQB8ftGcPoi5dKV3kqq7kcnTXTsRpehoWuk8w
1BkE75ISA+meHNuHqvNEVh3oSLpYHmIsnmG0ZR9zQM3iqE/7dZCiMHMbHNKjKIKD8HyamBeZZlq6
Q+HByFKHriYR5jDoiaNm8LcxVm+lzu2g7zA9TPxbQp/8cuJaZLJgmJsA27dpO4TnRpfaIzV5L10N
ciGWe5zE2CcOoF6oNGKrJ1wXFZ3f6Z/NrCLRMHeaqhjvohICurWWIujdGwwDbehdKdXAlT9CEJEE
aICDj3TE5AmV6I4a3MTAzkv5q0T55615560hreLN8c3qR/LYP1Y/nr81T3/mP3MbnYeRWF2BvtgF
kPPvt4aRDhGckMKJRPz1Zvw9tvH+kmjaQGoh90SXN29Ef49tJHxxBKcoptHtEUf7R2MbKKyn5Qfv
Lf5mobOBzzL7ExldHHUhaS1euePAHz7AccmKlVNYfcvUFI8e0wuELUU5Xie5CW8kCbslZYwHxk0n
S6aDrcXyPhkPvmpTtAVZ7CwJ0+l/DI2jrVDFRtjR8NcmQQMlRWNQ3yZfhFYBMEPBtslg2pCtpwfr
isIN9KNw1c5PbfsuavrsfMCQd5lENm4U2erTDtGUL+bMzurgGHq8anN/IMIqCTGrAAzEN1SdAbch
pSwFM6ANdrTt+XDmwqqcYu9OsGc42TW3Ge3NA42kLzQatAeVpBo1ZUbxXMKCRAUVrIugsBaFrIur
CTX2Kh3qG3o8320NGRIEO9DloXkjTM5RkDNDtFmWtojY57dMKH4WmGNRO3lNDmBuatZ2QZ+FoVGx
KSeuHnbmjWMN+kK5zQX6EmiUpnmjDPnB79oLw/cyxgDZHYuIcT6Q/ozPMKMtIzkpmTLltJ2eC1k8
kEVsLiejGQ5Yk76g8tjP9rXF7LmNx/hLac/+6jy/GxhxfEZHoq8Kkus4VxctdCJm3yRqL3kEPwwW
nS2XcIkYpRYfoURHwV/tlRxt3cnVr5jZaBvSHvI7lJ/Jx3xsxUdjsLKtlSXFsgzAHVHLD/h5Qb2G
evqznoprSPjTzucc2cBcecyFUX0oyBEh5cunAWoVCZhwE+1Ob+98OUlq66a8GslyfxCx/ODUKt9S
36otwA4sQn7srifXM3Ze6cg1+ST3kGk1QB5Wfx8In1U7xSvPpLtOb0zPb79pelnRBit16waZtnWZ
qhI5U2+Gg8Q4VE7rJMzuLM2g9wpfMFyZuXUL/YnYBumDu7RCQOu8OYBEO7UKCZBddulQelu6f7jh
gsIwYKVBp4oMWy4a2Tk55JehPSN5s2k3faXZ9+hi1JlIHf2L4Iuv6rFRyxRAk1rZ3Mt8Y8jKr+jQ
j/pZP5Z2s8+xcy5sO2rGn1rG4WWL7Dj3f44QQC8SEz3Wgn5QjMpHWeTT0HYs0si4+6c8+u9o1/ya
b9VHV9UPOs7P13m6rvMf+bs8Mkh+ADvBCQ4tHEJe6o+/yyNT/GU72GgkdYnU+a/+PaAXzl80ZNkV
oLQdF3rG6r9WeionqhkKeiprwWn4z8ojKGwvV3rdnoXdLn4qnfqIKd/pSg+AJe5bT11HsUcLZsnR
D5toFcTOlecXQtwIZM31Nk/0rNqAU0IyABJZOcvY7/J+uCypChkuxiVpXI2KkV7BikQF/8nmIB7r
S4fJyjytj3fBlOn9dZOU+vdUL3o67OAblVxWRihhbLbwo0JeQjMGypN7ApUr2SiEG2TGTysAvA2+
qpRfNZN5w+DI4OBCwEALE3DQb1xc6UiTt8GUTyvqN/2K+VHe4Sp12nZRMt1CLpgUlc22JLR7LOdf
5eCEq5RuFjJSz7108Nju1TRFjJ4EDnYwiF96GrdrATvSWeDNDm8rV7Kq1/kwXnft5HurwoTwtLbA
V2hsRVMj13WZFCsPfdFZiT006FSwJBve+ar6rrmvOyeMLm0UNmQIFu6VgrnJnEENISMUh4ZwQxIk
oa4eKKxFDblpvHPtpslW/BLjgz8CbCTLhnglWHLBHYWi7y3qfKS6Q33a7RVEp7OpH+hWKmXYW0cM
+j7IrG5NtHOdEf0TpcbGpVXIvIDEhE9jBf83CMoI5qvbpQetztBiaDZ7wTL1J3kl494lODARPBLR
pKCquUNYT6Qx1XW1QsU3fm6gmzvXfBOYcmbMarjyEDytsORaayS0TM+0KPzpVolYh4GKd7USLISQ
yVaYjVv26tC9KSfBCCej3bYyxwaSrsNWPuaC6Ou0NG402+vXWZc6B19QzC6qyna+kxNHy4uX5tI1
iU9chGOeQo4LYDoZmzLTinNBgT5e6Did3eJgxqKXBYBM5B5yPXdWCzKoQmIJREwKwn4iuUssdNKZ
A/ZZvAs0LNNagInDzsIAHk2IjBeFARJrlU7cvRtUh/xWk9G5dyliWkbp2uAVH5MKETeHhlpfkdZO
ZFGFBitdWsPg1iu8a3UOMdSvvHOnCMLvpJIRBhslbuzCWR1T7byz6coxtRyA9GoSdlfWhGeOn/WP
CHOJhI3rvl2PRZaO+4E8eHtZ55wPCNxy9HCHgcHMGc8IOHwNOmQYETMjYKdXpDBlgVLXahjBIIcl
Jdgir/yUN9uXTCasYlTNqorylhwpn+bN+TSpdkYYIAwGUdVaq6Ij4WmpZ1pFZjZU6eDayZhHQlNp
U/eCuhBAfG3r24opzioMrGDkiRNskZEL74LECXVJSlhCCjL6dERphu7Qrklk/2Ai6dwi4CzZsPX6
dhqaaLphBvJNm7yMdwrf1rCUCMTtyya36mnTwIYie7gd84cBm7ZYcKQLP0zwc/Ot8Isq2/Iv0Rt4
GsXHjpVovBOlN+R7THi0CxVBLNgo9NDs90ctg0VmyM9eE/d268hzC9n5dNfFZlfs+jg08n3lj8NK
FpqBT63WLyZCsG4EzS1Y4sKLwKIErGZ2q2dAz8poOw2WPESaHOOVxCoznA+ku57B2ciI6SiqeCul
X69J48LPr/itcjSMU0S4h7BuNEI6uo3Vgr1yvMg8y53MW1sSHf9aI9MqxH0wGB+KSSg0MInJ7xyL
IPpalW70GOmNdm9VSfe5hsZSratcCN41MXRgeKAwpAb88H0FdmWZMIao1w6k5+qM/4AMK0ObZ7OI
zYqREaGkMXQQDOCI9BkhJxX6IsIrwASodcKlWTtE8thORbhz1hXdTisrK18jze4D4mttKBHglYuW
+i3zkw8G4IWPaGQ+0fmByvkkhPDAEuwcySkWSa+xChpGXI0ZlnsE3K6OYIRpaaLZfrDMBzrPhIeJ
yyQ1W2TXBEoaF6Qi5xdMK5xoK8vceiib4QHhB/NLDvG0ww0FFn8Jz6GpF21HON5FWqTG5TQa9W1K
OhDkc/av4MYYOh+SWySScRp3qeU2WBGWkBgC/8CssZeXQsbG5p966r+ppzxjjp76/9tNK1SsczDl
v/Kf/6L11KZf1ePz4urpz/99iKZTpFMkSdSPc+PJpEr6VVu57l/YSiXlEy6w4zn637WVJSmgBF0e
D5kjJ8fn4keJvdxDCUTz6Sin/KNUrdd9YV23aY3NNlB6Y9YxdOtZlMgIu9aAP6Tv4mGO/PuZEAg8
jD5SjLkzTla60g94c2BLtg9GzEnRqlfPbt71U5vruf7Se9UF5iPg3zOQYHrC9I4Wv2cfIbcdp5Ay
0En4GPVLXzyMXnFeg7LM0k0QQ+DVUYavvIJNTyT+RVEEdMFMka1787PoOEiGK8A8wYU+aQuGb5vG
YxN0cTTNYXzC7hbgU+b+8TzA/4bxjv8IE1pGgnT8JapNCDmkYQkU12q8r6d8q1IMGNp6tOFg56zi
pAs750gMs5F5fZMTHFnVlrXSgcyOVvZxZM+teCZ2FHyLFLU1Q4CzoO1Bb7JDIIufG3ByoSRqbDuS
AHmtGmHmOVCKG05yLelD2Ds0SCaO99mwtHUduI/IArU1RyRYroDlHZcJnoeSNMRZlKy6AU5iG98O
GpmbJWz1mHyKrim+cP7Xtyppr4PaPYuM7OsEbrGJ4mXp9MnWIbRg0TdoD5DGfEsHoW/jSAKD0vtv
mQhgNbb1eVb39gLA2JL2Pxeb4IxbV0EaBU+jmn+6cu905UzD8N5sZl+ob6EKHl8e157+0K8lRcKD
oPdMy8CEkM34lRbbryXF0/8SWOKRoQGL4Nj0/Lgm/6JPps8HNgtH9nFS+5/jGvBrhM8MLWnzkTT2
J93sE5z27Mh10VDjoaKlDaH7pJld5imVQFL4hwE3+y5mb13qPWPfxbF3hiAxP/MZgu3eXkXm+dWz
FvrxqmAYQP8dPfoe9+Q5nFBgjnBDkE2Ho/FTCUUJhX2Kyenb1znRih+v44Cz4AYzRSMW+OV1ujDn
LfHYdkVcM0uEeQrsepbh2Ueb1p9fDHe4we1ECP9qLoDlp9YCerCHY+YG6jaB9gq6zHE8/valTo7Y
fC92FdhTNGbppyKFf/m9ysBzC23QnYM1e/Hx76itjQhxWc8W3hodzjur/m+uZ/DkGjwmtNM41L+8
HsneWBWTFF4P3LiPdJOZluGp49zM6QfNL9Idbu/b3/Fko5m/I81spi1g6PnxTtOVRzDUjVc19E85
FHS/BNuY/pBPZoPJBxBs4bjx0o5/1rUIV9vbH+D1Q0pQ85zyjOTHpJtx8qVJXC31gQnvoW1Vtet7
zdofq+7/4SrM5dFksK27+skLmPhmn/mqdg5Y1qrdqNBTuHLs37mZv/suLEFytrF7vHgnV3Eayyzp
KTsHr6TL7KjZLAdt4M8fE2inlo4NhB8PpsDLxyQuAXsUKrcPiGWRrB7VLt3Yozs9uiWbYuimd0bl
r9cvCivWML4WQgIu+/KSGEL9EZafOGi57zwYLV2cSe+QU7RJjuNNjnOARj3LWN/+2V6vLMwfqfeo
PhFUvHojPBOQ5FTY5iFGhbT2c9bJxkGfMEUc996+1G++Ig8HI1JyY2nPnS6WbtJXXCo1D0MVcnRK
8UxMdVN8BizPij2Bthzmp+bti/7u+zm8ggyMqOhs62SF7nSVWTQbjMORQZClwoIfCAeSyurdN/10
tM+rDlvBtQVpD0xVX79pIcJznfXkMFW1J2l1pzaHX1dPbotuqi7J3QTsjfZ6uB76CnEvDoz6EuHl
4G/gu4hHk2SXxyRAKIJfFTW+nEitvJaxA8jz7dvyeiGk1WHReWVF4hRwKszAQdmjUvR5wlOLCylf
FZ+jQWO/7CLBo/Zf4EeOyKWXmyWUDt4qtmfwYQzyXj7iQQJgFtEdjzhzrWo9yDlmvGFk9V1Ws/oo
LPz5eY8URXQLegFWAofVI6AFDTjG/zJoEa04sE+3zWhg3/jze8JKybNC+pP+qt+rlzU4fslbf2QI
MFqIvhiBZsHLsDIMNaVev/MjvHo2HQZsvA1IdHhE8S28vCElPqJAq8YJZdoszQeQQULGjAVhZ0dZ
9fa3+93FmFoygudYyHZwcjE5mZ4elMDpjh4QzB8gGRjd0NfQCzRIb1/s1TLNN6N7L9ClzzveKZIl
jTWjqH19hIM6G2TguvNk8SLm8ebtC5nMD15WYM6su6J4sPlyWPrmT/LsGJcQVjY4qPmpIHD2X+tk
eMF6l3UT3/taPtVnRUQTYy0CIc8BZxFWggGEaVCZzNtgXqLWU7MNS+tDNuGafumTpwUTcPHZUwwH
MYrMQn7YV3Ayjy6aJss9oi3e/iavfx+0IJ5NiY1cRH9VChGBS75rWtcHcxrl6gjmSftQbQO8v+u3
L/Xq5Ud2wjPAjIRzAdOSk0ehCXSz6YawOhxpLNIESbEo85I2mjngDMoGnoq3rzjvXs9efVoJR5WJ
zv8ziX/1K2VTahllZYuDUw7ih+OY3aESmNJsmAQfHbfGglZOiX2fD4P5zktmnj4iSM+gQEEj4soM
ctgDXj4inN4bxWQxOsBJRSi+IsCSpv8W40trkes4kDTnGHFMPFdeEw92JNRlVoXC0WwwJyxMk7Rm
vU1RNU4xDoBFWbnzwQKO5bSYXJ6jKiXoedvy91+7sGAz/qZe2TsP4V+0MGDRkZ4W1dPHan68Eo3N
YAug0ygOXTViBjOdGhxeP9sYaz826rO4n62QgBzxLskA2P6Frc8gTd2I05vekRHx2o22HYRyrnOi
7YjqIgdgIbomQxnmlqZ+DgpJzyA32K23CEVVnNMMJUTUTYqpX+XjnIqcTepAOoqxFF1it2RBGCHJ
Lou2VHaTglPp+vwR0nWW884YEarRtjAS43tfyTg/jzQ8m0v8aji0aGLG4XU3Dvyzi+883zt5w2TM
q8iF3jldPOtQS7go66lE/3gsPruYnEUgnHNdUxa8a1jj7fFnCQWRrCMjYGy8YAiDzxHp/eyXout6
jc46yc/jAJzpTY03AfNG4fJ250ZaxLc51AtjVbWNUW7ooGPK0k15jjk1j2/dwsBvV+t8C2x59vTD
cjI6sVVp4FF1+4SfedAVf5Cvbj/aPR/3roDM5hGgGYnzjrs5ewFb26I10SAQphfM5S1jNCuYO7MB
SEJRt365XukE+8bXqbeyfTlE0CGGXHHpMibDhxlYJoj7CxOrNq+yvrObW4M8bqAmPC7hNVqPvFoa
KPSLJXJSse+6qoZW3jZz9FIxA6Sc2dFKtjVPUJZ1HCRMt1fuucAl2u/DozcTj1Kn8FLPbA2GVvW0
hdDOP+O+d/DXtjqZnEZmo0FFmcUDlhExbV5iXhmun+oAOwh5+qbAEWIXOjmCYtQ61gjNXh9kuZjG
fPhJKpp/LaduuJ46gU4Tiygfxprb8GImHyk/DP113daEzT29Vo7J2qLP70zvWpF8zGyFMrW3cZsZ
gxEq5AoKwodJcFu7rPDp1dtSOpzMwsTmlzKhFyBOier266iIWNkMyhmY3GSCp0qKR9+25kICPDkB
ALkrHlMjggEUVga63CLi+DMggyHsct7+XAKKq+swxz1zbrt+i7JbV0O0yWWs12epF/CapoWG7Q1Q
AjdW+EjdNxFqF3VTZyUfxNCjuNoUiVnfZhOhl1/awbXAQyWuHce3krie9gKyuzHHDWREBle+Gn+A
xOWRjWRpipvRKHDshiO1MaIWo3dT9uPSDhnphrQreFaExhCTN7ix3E8U5qg+F0B88GouEtURIrjw
/SlVS5ZwOzrAtmMMMiZYCDdGlU3ysxKkDx9S/ZgYBOCikSmDXpr+/Ts7vuG+XOI5wdNKpaSkfgJJ
qZ8ec/FRgopJauMsK1iHymVHpNOwq2b8JeHwmcOKEo4pC0eMheH+6ScrxrAgPsErMGkrqkNjxbJl
dQPZO840kmt81L0+ebOfkFSsDzwSb29Or7ZD9iNKMDri0oQrdPrJZd32oKin6gxn1XB7tJfbsxgb
Rb1+2XP/39sNrdNQCw4K6McMFw4fDXq6aSdVi0ZdUWgQ988o1s7zxgVvlnQGi0gkRFASWFBq5c7A
Y/MZiwe6oiW2BVfsPKft/A1vJoM331U80xMpmcyHSXWYtmbDuyCxhVtYNPEQh5SeH5iDgTkTfgZz
sTZ48AKV8aYaPIMOG1k5G6eGlmc86DM0xtpsGE7msxijY/sRcRs7XVTOVCyQAAj9cfKy7sHr4PHv
YU1jA+QXKZdpU7ftxq+1Ed6TMj9UhsVD0FvYSisrxbsrNNwjR5gY6xv1FKZxrAW9ml3XxvzJ8fSx
FByF+oDg2VqVO/e66gpSgcaw4DpwZoP3YCqJBsk2i88m/qAJw6NZhldDOK8MR6/3OBnhcF/xGgGn
LzWgaGYUsquauXDNSzQdrrZx3NEpHkxSq8IDWxXPX1CzQGuma3e3U5XhSmOEONNJjEH7YpkNd+5p
OMcUnmlpVUiWo64CVL0kVZJLJ8V8oAT2z6cjs4z6fZg4ZCJLiFjU/c5gZcyrbB5THh0nUUyCbdTP
7urR8T52bcUf93qjSlelcm5CUgimpV6X3CQ1wgpfOKJp6oewZ6q4E5MOqIv7SMlgK4vborSEVXJA
EzbdjVPOz9qBZTTO8DxjCJ7mn8RFdLdnfQWmdATeeaVG3aWwg5JB1HX9RUh2+o0m9XBYAIQZdlbA
SX4FCcFo1nU1UiUmnsGnhGrVu6u8M5M1nJ1gldilgb2vH8YPTmM2l6gSBmYHkY+RcbLb/DGIGvti
HAPnIxw3zr1dkVyTwEQEXy/wkWiJkEtlZu5jFsTdp8LSKQ2MiUc2JJHgukMgwhoeURQt08SPx4M5
OHidj8Wj5pR1cwM6cSbKdXN11lXuXK6rlH1Ob4AIwS8jlh47UltaBoQ5IcPJIl5PaOa3PgUYBKmm
EP3PMQJp/pl/TKOfxTxYVSnemSccRB7wjNRmxq6E8xwEljn/8kmslTMxr+e3jXvgaUjuAAByZ3i5
3CjjpYyLHCd3rWtF/XCU6DOZ40XQEEoMOwWj2NnGCW57eGechv0B6ic5L5yTIp82AQqlcgcUHc+N
lc0QBTdvuYozxDh2Dd42bz0M0VzCHFuZ7RyIjFiEmiSeJk37qLXuVJ435DJV1+MAFZCtzGL5RZEw
evdKkNd663dw+iBHVMTNd5a1f9rKn7w8VdNwL6EgzX7kI8Wz0FMsZuRQDxvBqhJCl6fxuTw+yPGg
8cNhpOA9drr5pWgqwS8y9BZr6BM6owXKStaMDJ2HIZGteRX5HguFDIh1+Xb0vofUt+zeSco1tTig
HQolvoq+VEbVBwVaAjCSli+b+FPFCmGESzIM7eoqTzNo5YuBnGaoAvPBek1IFX8TR+LoUJdgGldN
Qtclgl81fJKtX8Y/bKJGKMUQXGJbT/XONK9S9p+JaImWQJC9nyEgNZFSObq+54CIpxD7OeJ0OPD6
FzVM9UKpQF5mdD0e7A4wUz4Zd24XDDgmZ34bHR5tHc9MNx4MnH8z582aiW/WEf6Wzhw4gyrSXoVu
au/IOHP6cyqSkrAL8rvbeiMK20EznBcj0PsE8FwBkeJjbRfm0kr1L2C7YDdkSYy+AnadCnFm74zY
DL4mte/+GHBALjJqgasmcfBtVeW4jpNquHFyN/hiW122RjwsOAzU1q0s/eyLIcJ0YxIA7S/diWJB
b9zq2sPQvsS5RlFuAue/UEWQ3JtRDcxMr5vNpBFlonUgDLMqmNYdEeRXXTIRByC6ds1QMrnBf1V8
wd4Z3nUiue4pIqNthYhgU44lMKYjQVDlCsGsk9z3qSAyo5phgx4b2CqJy+mQaF68kZbA9l/2GaZ4
12XZ66z8A5tO8ZDZaRGuoqnONiS75J9Ih5lvLV5MMMMz59ABVXdZOAOsUNWREee79U9VuUAUWkpc
c4oCwlRM89JmjClWITEJAAlHyoFVXZndWVmn+VYm5Tg75CwyP8PB3AQ2kSp+Xmz1IWxXFd/xgYqw
6NmlOmefjb7RrccU1GLZCP/OKwAhaiRNbmzNc5YaOmO5GUfHudTCpjxjwR53epaN+14zvP3UxP16
rKFYNaZolxAZol2Y1c6HTnXTdx18xRmT/OkMNS4AymNJ9M+c9J056Rw1Rof4/1dhbPD8qO8vhBe/
/szfY1L9L/4K3TbghIvZ2EPD6teYVLp/Mclx7NnDg3eHRvF/lBeYfkBKYQzjA+jmcw7/LIWlJqWd
ptM7p1n7R2PS00YM/UZkrQJy79x6fGVVDPpBn2SRtzvTZB1lA4NAvQSP652L1sIY69pVdh47rUJZ
GTIGeHavfiO6OOlx0X+hzpZYoZiGMYY7xWGXJdVIh4Zt27dmt3bHFMawMhMSn1S6+x8u5c09eFdw
InFO5imVBYmU9vucXc8Ih0WkX1g1gABLGuX/8K24lQy4ibGZ25Ev+0uTMcQFSg4SVoZBkTAzlat5
31w2g9u+AxRH9/y8j3a8gXNvmvMVD8Wr8dfQNW2c2NxAD6QTMCfzhhQ15+fQOSvYQtGSIMgZMI7s
tdAhZLx9S+dDybMm3q+L43Gdn2Km/Sffs2Fk6ltF02y1XAA9ioZwnRmifGdK9PoZsU2eS7xp5BG+
nhLUgSRzs/TbbeUJp+LZBGWysIeS3NoIY+97bfGTYytfiiqYdwvuqsljchqmYJegmkIDDkIwor8L
4+qHa5k/gbamGAZS5KU42f70NtqA5Zi1zUMp+lAn3Vc/JLKHjmALoMe2sQUx7i50L/+zHu/xe2H8
ZdJCJAUiq/k2P+uLA8tCY0XLemupblxYmnYeaPXVCB2Tco5t/e3v9Lu7+PxqJ48GffmgBNPQbmXX
Gws/V4ugSyHpRjEkMTgtiyqOv759ydO27vEbYmGkn8sRmgeSdfv5NxzDGIlkz2tnhI64IlCPUFy9
xdSTT2Tb5AEds/LW7Ua5LHG0f3caXR5At+7aoMq3Xet163YwSQrq3eLbMFjafkR+sTD9prybqpHy
IgT2TOHxzsJ0OgabP7elE2EFwgBNwKsnTtZEROYNr5HqSexGn9KjcIY82q01zcLjRNb3spB5v7K4
e2uT2Kov+uQO160hi0uY5dYSrKd3ZcBqeOcFt1+/4Xw01uf5Dcd/cToVjIiAjwGANNuhCdcmIcgr
Zt/Dkg4cB8AyqO8HZUXoahwKDsAK2WHIouoc2n0X4/jCq9TNOl9RR4tyzPSFZRT+ys+wMGTAx1Cn
mdWl6UzanjM4UORuzolEP7ssm5k+3ivtY0Ma99KzFEAqobkbhktUe1Yl0YQNhwYW9aLXEsRlvu2R
OGmfhSK+b3tZX8ZipF9sUVpV+ORWvdZcgSWadqVy5xMfsHKGGtBfw1H/xEmn29IB1DAsjT/j0bpt
OE2A5Q1I53LC5oq/Odu8/bS+fkGQLFAY8NYLz0GH8fJhHerAbm1UcFtVh5ewY8OlkvreUMMH3BLF
uoVz9MevJFecqf822anzevPyih6wIKrDuNlWPvSjWsyi6m9eJs4ri1Zk7DkPb3/D1+u2xPsmUdbM
ER+vhpl14HWkILTNFjF0sTA70e/BcmDHNavxnQ339WPKtA8XkI5YggHjafcsaHHq9V3OLig7+ywH
k7LP+9Z95wb+9irCkZQpjMC5hy9vYIo3Om16bqDmVDoDQ9fTdm0ZyOu375txMsFkPeDbMHOm+TjT
LE5npbEi8cEpsHUOUCRXYJajjTOkwQosRw4jvHYpKXjwdcBPh0p+qsxgm4tYvbcszVOwl7u7tClh
cN8ZNnKQUyxBWeZiUp1bbwVRpGu6jsnG76NmI/oGJxIUK7EnzMxbV3r+I8l79zZuon4LRKa7SKfJ
+j/2zmNJbiTbtv/y5miDFoM3CSB0RmpB5gTGJJnQwuFwh/j6t6KV3WbRLq3nb1JW1U1mRkC4+zln
77VPXtX9SZti//YzXf1c6AUizqy/bCuZaxhGmjty32aqPZqDt41MmN4rOai3KcGacR7Qsamhdsc1
zaw7YPRL7BemnURh2yVBW/+sEbHf0pNL4PK/q9KwY0HezdPSKgYCI0M6uqnTqV3qW8JK/3S4+P0X
AGbnoKUDOXa1Rv/PPSq1hqgBlsZFzZfHbAj6nZrc7CVnFYNMF5RJKi0zbgJ/ZMcamtOSr9/CIniW
gx8dVZ+m8RwOeguuOnro6C09h+76c/XS9uSEebSb+mxJpqoEYViO9W6AwvOHLeGXIB3WLJ5OCpZ/
f4Nf3oJprPnAyFT2UMKyU4rr5DRC0UpKw0xGvE0bR2FDLksTKCkWWUn37A/v4a+wn39+BLiPHi+j
9ZdmebiwliyekvuSMhm4ah16Hxyr7gNX0hGJzB84Z+Y3vE75d0mxrHQGONq+pkqgtoEcvrNNuOgD
83CQk9bUbAJb9THOOnOP4RlDQ5lZPxeohyyVwVPgkD5APyLxjYj2L70xS3vmjeFZ9WHtum+wh558
yvKY5qiK+ymS3h+u+fWp/uVNpJ1k4VpHZYsM85dLjos9YDjKgiDK+q1N94Eu68RYAU/BcHL+cE78
zbLtcyKh8qT5zVnxlzoJ4qvfXtnue4Tun1ER4ney8EG78/on1cH1J/3la5Ewbkcu0nHzV/mPSDPF
sNbjSRqy58pysjdmyvQFm4Vqwlsqoo5N3whPqW/lf3iEfrP7XuOXmE8iwUSg/MuXHDNCxNMS/Y7C
lpeO4f0ciEfTTT/h/39Q8vp/2KB+9TdcH1mE0JA6LKQHSA5+uYWRNuRcFDyylOHto3I49yzENAC9
1bGj159m2jwzEZ6TbOk53LghiWb4jUjMXv/w1X/7MCFqYmeBj/EXUVPB1NjLNe/vFHZjYvYBpv08
xYVQdMQd5OXn/76b/WbTJEsey8lVo/lXFQu+rCqD4sFNXoZ5n/VWGq8qzP9QI/72+iLSQmh3vbxE
l/3nusokK+sst5d7auQhDhGzkBCORddPyfaepMPbqV2VGIvANZ9CoKUbUG9nbZzX1f/jGvm7d4jz
CF+XkzMxar/c7ZHkMNtpzWG/0Dz96AO87JtpyMY7ide0YUzW+X7cKX7AxliurF3ti9pDh0KAK0EJ
QV4RWL1MF+jUGXKTcVRW7GXk9vzv9+Y3H5PjkodM6tr9+csLiHKA8Vvoij0J9MMDUiQfwmKQnsth
pOH1757Y/T9e6v8w1/zmVbeok2lToL75i+hyWpRHfikaG0ePJubWINvJYb0segE711ggnmXT7nPy
4DZdpcz/fkkLEZriKEDwjNT7l1NDjjd08Vpf7KFiDzuFMGHrStRNVA3Ff/+rIlbqgKtJwy/8tctU
lJbsUQOJPUKI5tN1luAB9BpUMsM3/3T7frOIcftoi3BEDGhq/fLM2ytZuYT0CXBZZpakjGafmoxo
B3Y3RD9zg5WICfsflo/fPjPU17DlyNBE3P2fL1qWme0YEbeyX2xLx40HH76AQJlgapZ/+FXI3P76
2HDSIEHzqp51WLH+85eFldupDB3F3nev8EF/QSQVF7k7rQmp6Uzw/IGkH58zeR0LR0/GjspRzdsV
1UXz0ITYTLcFSU3RMZVL/Wr3ZDAnQ1uFKunr2mdOkor8GzHPxqVC+i13WV4juZTYmIGU8JWcOPA7
LGgEcKGgmJBML2cPduMefGSwbjsXFCq+rBxBh7LRGuH+9uwdMt/Z3zp0922AjtCFf/olzRKGwVQw
+RmhnZMmQ1EN+YsE0b8c65bu2j4vrMbdGmZvITidZ2MvVaXlrde0Kry4mMfTB19adbvjv41p10yD
rOaNcqOqTdpKu9klDNprZrPndCXxQKJ+0owVyAlujQ7xAB6YzZINNoi8vHhtJErUzaxAxh4JSM56
Ing6xoxLdR3DN/3SDjelppwkuSYi12IvQcVWyaw9/L2dXlLSpwwknfQdmh5ybuNdD1cFSajfApnS
LwnScY7X0O2Gp96DRb7vRkmMG0Fk+qkt3GHcLgahSI9m14TZVi06U0cOsfNOhHNU7FxSBPqN22cr
uU+gcvftwBa1rUHGjbgibNx1QnrhC5zOOp7rBgqrdHMNb6TvvUMTqgf6vDulvf4t7e36CxBw83Fs
mQGl4OMPBv7vrSOiO1Uvu1bI3ZwH7WMa0ER1wdBVmNz3tltNSRVV+P+UPjkI/mOb3PiyIhfFU3aa
qHJ2duilf7jMULfXYEE+AzlUvpzMbYQYb+9Ga7fhxIwNHBf4WZK6/BGMDOZdpjebNtDfVuF7B+3M
zKlJhkb99Gqa/hZkoLj3IogJltkW9zCuUNuhRzuH4LwvzsT9oFooQMumr/PqeHvPsB6Kgokxwoj0
mEZuFc9lpThUAHUBfOklUgbrA4EOR0ZPzAWB6vKP6q6iu0TM1nCqkFomq1mJ7TwO9aZE3RFXRKqd
JydPYLiE9/DBHxsjn7fWFObgT4c1XmC1AKdd7P3K0fUxzer+vQ2leUNUQZjAh/eT2RyHT98QbWyM
uk9CGtZ7qDrecagjwvLadD46ZmEf5RLApZn1CQrMrvB6a1d5y5fGVOJLW6QHVPZPhVq+YHDCcmlG
NOpU+qXxjWzgDWzCo1YBed+GSEHWGs9gytKTTJ0i8bMu3Jqla3AfxLpxy2hNcuqGx2Iw9L3IhvBR
KuyYkyNvxiUFLjAjE0G0+RMDUH8InbE4FLJpDm0T6k9XjjAlimmlw1XpYlyXWHWiXR1Kc9scmBp3
RTQ+Vx2ago3Nw/PWQKCak0BQR7CVs0iUuDKJO1urW8aWYNmvc1xs00dTZcvW6MYOFtAanvmXDk08
lzsFSbLIG8wz2SS/LvkQSEFgR+pOVbJKe/jKCH2HWBygomHzmfcB6OzvM2Pp/uBUta2SJhwCyO4d
PuAbovbGEmZpOGSbetEeMZldYZJA0IniMAxcKXzybQ08t9HPOV39e7smszJt2qo4TqUP8jUqxK01
2SF5kVjVN7OgGZcX0vzwrwF9CAPGfhusZn3u2fq+jzLM/G29ZB2qAMQpQKmk/+Qi+PyMaO4jWEEM
RvENvy1B6jy/MGdqPoceexSJgtJ6b2FoJZRo3l1E9uLXIiL1SOZy2Y+cl57DxS2/asnPQZBCWtlo
i9OKhCT+u6TMdh35RhfuSpdCzg+EieTcTe5E4kueheK76N2KLAlDfEElWxxK8HH1kZCzalcspnzz
OrFQH3YTGksouGOiVsnLAWbfiyvTrXCr+l6MNMM5KqjzCSNlwOU5/q5dRd3UEAmE5JI0gky/inRi
Fh7i4A83UTalRQx5QURxw2jw2Ld5fX0GjemURWX+BIyPBMNgUPZOcjmN1xabEEFEfRXl58xe+ah+
pV+1PavpkqVpdkcoV5h0Zr9euvEaDZnjbOkdchpcs/Cf9Gh7K8T7QJz8Ps/vykn277Tu7C2NM+8u
Aw3rb1tkQuC852o3dbPb7IMgyO5qhExB3Hu5d8dLJHipuLs04cWpAvt3B4al/xh0NjyAF7eeZcH1
Lspq2a9Lu+zDnItqDERfGTyaD7039B/etcKMW38Fkl0Jggm4ssXBmxt+rIFMzRpccSK4gSgHLfuP
cemHL5rhOlqaQHzvrlJgFIs5l1W0TXrK6EbsVTTKH8CTvTt3Fca00V2U3c0gBsmo8Ztm+bGWjgtg
q7cnx8V5PJF4cGOxLffJFOEqNoD1C+BQhGCwQqlUon9H69MjxLgrCLN66SHB3CIb6Ign9KtkRIMD
T99YiWHRIUc7D+n4NhtDcVoGM00yQ+nz0PDl3YgQrNAoWReztDg4PX+7N43sTgHiWuGneJz/W+B3
d64j6uNQkam6GSOaOElRTekJegd/INXYh7JsqkcUDX2nNivvOW2sVr4tC01rmDTEQWeuF6fpUh8t
7IU85SrvFTMX23sqmly/YiNXQTyRf3mqPRM96jj035wy959gngvSbtopv1v8prU2EuLjl1oALCaf
V72a/VyhfuJ2X0HjN15ppY8ClfgRL/6yi4IA0TaHjPzOlVy1sMyXezMzlk9zJeHBmF2vBSAXpo92
U7pHYebtje9M/MRuRYltmfML5iT5Y500tLMVSmS+NQCffgY9bb44hVt7Re1YEgGoT6pb7BvI21nJ
V0KpC8NPH92cAgOtHeq4Y6NBB/HdeZJWWBssvb7Lk8aald/VVUkiQmOt3b3hlDRx9VJzr/G9wATy
nS5s40iOnx1+JI/ZRVPGopnEp9GV1qubIbTWk7R++rpUCjndLB5YLdbPjrDEIfbtFk3MUHrqpw3g
yOOeBTz7fc9l8dnJ5d6cKmvY4L4iRNWujcdoRM9ZBL7+iWNRPIxpS+Nf2P3tqJf+Kymc4sEaw+wu
9UkVGSMySQsZOkfWMQRjC9lUx9bIxjcBhs58GPC4sMaDeveOHSqjT07UwYWaON31CuT6Bi1BQN90
dIA8pU74Dn56vE3J59jrutaHv+eTCLbNG4ccIoVLLSvufVf2u7515cvQa/g8a/45Zh3/k+x7yOq6
dz68KPPQJCF+692lS2xnhomnHX9vcb02TDTdpIJjgbHLaZZHq0FPziFkQv1FTo1dX/kqRvcEkfOi
A5bE2TQLapkBDbiKyltB/8dUuT4RJIKwWoLaMifQJIijWDcccL2o9I3L7Bv9Xbt46RMU9+4YzYXK
WHQbNHEtw0aBE+RIBt1JL0udFLybFzObhps2C9pTlqPr4ajPERDzI3lU2bfIg61SBe01n1Y7P3Tt
nkRhWixpIf9wpNi2vtXD0iLHey7dN87bwPPNufuIpuucqRt3OZ3lo0i7gGlZzoEUCd/yFmKIeMQP
OO2CuT/4pFQnERJWkvFEdwin9Rv9v+Zr1cAMZM/hIoEUyljoqXDIyiSxNi6rivwCw3Q2OjUgd8Fm
2qGzZfBlqT7hhDrdg2Ax905ZyiclCC50pih7VJJfQsJmcK9MHB00puEtBHjMItT/r74c60NRBK8z
jNc97VICR02Ocpvmyufriim/FCGNm86yjyk0yI/cTKedDg1zP6IKJr4a5NGkeRkl2dtwo2kVZsiY
zhwu3LfS9fatN3c7XicW4A7fyybzAQFGdRR96krZb3PvWrdRE62oFhr3uc/nEhFf5O481q5zk8r6
Ff538LBo7pKn5Sx2AefCzTAOkMbnuf+5MmqyCXIai1tR8hgUbZ0RMDC3kJR7VOUbNJwynntQNgwQ
NhHEnFgFPgd6iEDfQJhXJ/TOh7ESdbnxXANGZDk/rKb9NhZGg/ZS7Iqr9QXIIkLTFAFX43rpS111
HDNcvatYAktwl2PxGJrDmlTQB84S03Ocmvk2h6e9qZzBu2t6r+vifIoshhb1elyWTl98yGotZzSj
4oXz21OfzeVdXeKO24hyJVdrGFrK0tooeY2YoekL8QDll8Z2/T3GrpYtZ0YPLPDSguIqjPk+Sh1x
s9DMpqoLNKGyaiirU4S19xFAOKnawXxINbHKoawu0HPx1reQQqTbEb/CgOeK8h8B75YLHuPygOQ5
ImHW2VDnkMPXgjzLPdwrvX8lVuEU2Wg9Wl/mxR2OnR18WKv/Mx068c6JtX6vEcqxaElYcrVn7Byt
wHwHqnlYfE4sNQHbDL1xjsTZnOagxsz5oG2SLU6G002YsAJTBoeguobFta7f3RnTFZ8ONru7o6nS
wcNDH9oxBriGknUWLs0GEt6DDUD7gYwqwi7+HstU5hN8fmmbHy1BVD8EKUl9bMPLuhOoAE4eQK+n
BWb69GXgxMN9KyhygDDV7BIG8VZ1TyDXeg3kYrekc7fipFE0/fm/CLu0nzkfU5mSd+aesmoma6/q
xh9YXWgiEB7VfFaE6JAFso7puylL64NsVHb6zkXILsWcvhPfRBHupoURxYSByx+G1xsN8kodQe6s
vPapFmQub2Q+T90uyEbd7dxooqMBJJnHI7cVBxxoBt1T7qvK44zZpe+e5fF3on5GgktWTuUlpPvw
GLXOMlaJlnzKbQkrF8wOKq2AImbml5aF28pzsXojdaPZakS1Uz8V2Y7DKz95NWCuHd2J5ifZQNFi
7I3legQYmZCmG4qp6KbMTbdNfKKiFKFuPncJtnrgx+Rjpu960PDgSGiP5k2aec2nrRS/FTk2+vPJ
daL3f1xMTxsZTD3Gk0W8ShTucWCtMxGImd/tncjLSCPyZQWA79oUAK3ePnnox9p9XZS0e1AWkDrV
VnN16C26QHegAmZrN3qrd17wzDzh6qiIBnGZt8ZTKvh+VeDRDxl6syrPEhWD3jek+OSXSI/6U/t0
ZjfK9vr8gsQ/fybSwN63qm3fGjAkD1UQiTS+ynGfiZ6RCyge10rvXMWXPtgaYSytdpdPXZBUQJW3
zK3B/I8Uxph7wrtL7z9fEvoyXEVNZs/IIoH3u6B6KTb/sKBILX8WpSzrfaSQy3LwBYi6B1hhz3Ft
8v4Q9OcB+m3p/50mIrDwjnQjJzovd/vyCEeOJgouhbpkcSlwDvFOUXCzCbN/oYgn/WXThgpZlb3O
BP7m2jFjcT1C1kijx02NNvDFKk3ygurOPDGThiDRKOehycL5Bi1T8bqu+fQy2a7+xxjs/2tQ/6BB
tVGF0fn8d7/9L+D5S9HSjOiuTfl/8OiPP/7v//nn3/qXCjX6G+AKFKbXwZ6F/Iq+7b9gPcHfkNWB
P2FCBY/n7xyff1K03ehvDsdItgTEhQjUAuZk/4L1OH8DDAaVHk7EVSfw38F6WKuvvdz/MQ00wb4i
ugPnfYVPmOhh/7PX6+QoT0fWpnNrUkgIFRNsYiSz1aaHYiQLfFu5zkhOkaM5CM4G5rOt34/Ozxl1
giSjtGg5/y/yAjXMjXi2nXJ94wF2AS2zc1UJB/ePLLSzl2amCCoy33vTaDQvwszGewKqjXRXdCWR
X11uBBew9K4bax9M5R4oZ3UYxrI9B+W8HprZe6iH0fkwJjddzjhyACIjXRxvdAko/8WpUhXcyFWQ
L6Vqf1INhw9H/Sj/bmCz5Yw/iOXwGpO1LnLCQiyXxBlMB/GCo77y+k74bRTHKZrSBWWNgEhJpBb3
9ilL68aPHbvtqm1PVuYL0DTKVjxAazwUJRJzEgYoBNl7n3xX0VQLxnxvz+WPGqf/tggKwkVMURBG
g7VhD0n5eakcjh0kbpUH/ohzWaA8Nsk4O8VhbJ1x2AyICbejZXwD9jpvQrNspiP+U6ynbeRsBePd
mXNErhPQR8LbroArHi2z9i464qiEkjKwjiqKBByRNUpf1yYMnvrAS5+HkQQaeJGjYySl7L36XEvm
MnEwpOUXPQ0UgY4dxBXqKa5BrzdCzS3pr11NNAgx0K1qJiITfZrQeB2W6TyqMSOdLevzbVD466No
M7cwCa/CoVJZPoHVA/wZe5yAf05rm4Cj0QSbkXWwC5c0BbPW2F/61aHjs0pjfY6IXqcZlk3UceQk
hfVrMbA0vmQhjRETYNt1s9yiiIjIhL0mJpnymGde22yasman/JbJdbjuKSBGPa8mLlC6sU3H6RbF
xrSdTTqZJJ9ZR/T7j2Ge+tsIy1tcVd1UxqzNMNw60cQ50U80O2mjbUiWJzpPeva0ZVSu42EO2cqN
4LmavaTx7GOmhou3hCDl6csFRXfrilXEyqtQ8dArCSqmB3jdXwwjf5iZuGwGfs0uQ4K9afTy1TKn
dYeNIt2lcEBxFMijGMC9rb4ob0RjmMfeo1/G2MQ+XYGhIFYtKHIGUxBCLIsTW123Y7BcnA0QkUdT
8Grafm2/RIv93o6hGwsrC+gtj0bsjqXedW0wjifPccojPu+PgWbZaSjc7CxwZyDRacwtSQ57LER0
1sGuu5zZKkxWSXFNGs6EEZErapU5+V75T2+lizfjPItwYBDdZ66byB2qMDbdcEoiBQadQqS95rH1
aCnWJ872kpS3gh6O7aWxO5TWPZ++PBN0aZAzDjrsiBBG/ezrfknC3OHi8LIdxLVzFfQAPbN1PHRC
HNvJexJO/Uisxc1qpTjdlRmX9vpc+COAVRmdmLE8yqg4gj6wk9BctlnJ1c8ghIbafZFC7MOFNF/b
mDeRp+bd0NfjVqcYirLUfb2WuqQtNzKxGjRMLq0Lu538BICMeiqM9hKSpxhHo08ZMHosggUjo2s5
UDYzbhqm85ySbfeBWhqDz3wFu0d64tnqpdVyP/w9TmpJG4zMunCov6/BglXSNqOTz3J5UkysEEw6
5W0ejeVBhYwEeCushywXD0RBb42QL7V27e0cuuW3+rqaVSoNYA6W0jj3ve0+FrbwT10/5jE3jFp+
7qOvgci/mIbEIG3Pn/nYWIcskEAPCrpRAPGJg8O8dVJL4WzJLYgeRmeiAlrRQlUlqY7+8IAV0Nyx
TNAvL40pICLWH99YV1Ri00/QZMiN5W1pKx2LEemeyY3amZ1QuHq8/BHUcHQZZhOHpzEmbtl8lRmC
aGxJd8vcMBcCuziXPYf9Vj4SaMnqcoVOK7PclU7l8PE691vuFrdIi9gdOP3NlcV0sBzJpq78nd2s
6RM5ShdI+0M8W2P5grX3xcuignJOf5Nr9MXP7KOtPJ/nWPW7pq5njvLTTk7UUgBbyZxNuYrChY6f
CVQbw/fWW7ytN6zyYI72c59SG23g4ROykNf67InJvM0t51HBr6xl/upXNqOIet2aFBt0wa9t1gii
/oT9jIZhdV1LeyO8D6Wzl0U5P87cuiuIPAP/66/he5Vm1peaFI5kcAJeNQPatB3oS7DorRbVCd7G
SFku7PPgl+FG6B69bhp1eVwtdYgLQq3HvBsPY1+edJFW+7E2iziLjB67lrFjM6tjEOHBJpzcCFu4
q9zvdJqR4I6dEd4uq+k+5A0NzTUYxKWmwiVLWXfbvvRQV3DIjidb3cyFYE+Y6hfL1USBdZzZVzbW
Moq29jA+IXm5RfzbfNdzeyDX5ksZVPVW830wT3ZVTIxIcdaLQ+8U8jeSmNAmCMZbb2fPrSEZpKKn
+Z9bZ6/wMiIy6aBIlTlf0071j7hBKoDjGNT6bVixMmkicu8zQ8sKjy9JCCP7Wl/QYVg6r0wsyyK5
Q/XqxsalgdPVBofAeG+TOsZLbkzX7XnKks6PSIL0biczsF8xrLZ3ZtbrOXGhC9PdWNZSPbawk4+R
rNbTrJ0XKOb9hzFQNpEBgj905wWMtaCSW+TAuy6CvAP7rA2lM/reMP2y8qCIRwr+R+m191NrGCAp
jIeGUOe7ai7e5OAgmCAb8yRW/y2Ubv08F9WJkOFxCwpJJ3Zbi3eWV/cwWUv6rVytYYsXfGCEYtjb
stP53r8O2sOwp0yrXL6s1F+jLJNbet7GJcOx/UqqxbQhPjj89JWXMb/uSeLNnfpbFwZg3Se6WJUK
vzoV0vAmbILXgCCSxEh9MOpBXj63GdryeULOFZFquXGcuUtm9/oSccPKjTM7FUPlggU54uNlMBG2
TfkDuPTHYhrBYxS1+g2PydbEjXhbm9TIi2bLDsreashAHOi7rf3gbnpzqM9yXbsD/V+XM0KbXSy7
pmuEv8bwgqtsO+oeMYgKUKphrh4M4YSHNfDFG3juQzcu8zOyLndn0XcrYtTYxQ3U7R+iCr+zOtc7
ATYzgQqhXlCSnH1o+/uerMnEo0u4TXufDYKGHexnR8c5thlmql1p4zZ1GCbZnrhBf0Le9SiXm8ad
osPUWfS/c/G9RmUTq7kurPu+19YTC6TENK8cWKz+OOX1nnk73lIC8ti8pNF+Rd4MPxbS/q7mLPhq
TmSdxh0IWYydaOufmtyxPkC0+B9uAblWrGMWbdKc7FJAXNtVcc3t6Ep9R+vMAVifAnUF4yrz2mi4
SylUHN5b3EqMOHAPNJw8kGAWNB8p5y1IR+dBTcGuanT2FBkcRK0LB624afXrEK1H355+AMbz96IP
1qSBwLdVaXY16Hbk2c7YAdgk99w1knkZd0ewMZK668rN7Kp3zQSc+pbhSNujwvNqlMpDKtj/qu5A
2HG/WVICefH61wcHs+UmH0p9IpKB/GLntsxLB6u0P+zr3g/PRd6AUhgh2FH/Y7XPd7UWw+OQa3dv
Wh+qzjkw4Qndkgz7wvCq2RCASyqp6yQElfeJ9IZNqEtkGv7SbsntPawtzx2NcpICI9uKO4P80gKe
OB5rwXJSeBsgEqQeCL0J1yp/n6LxxueAvzNDLnET9S8zyc9bfEC4owsG+HTBkhKdRkKpQh9xNBiB
ZcQ0YoTpjl3nPkYYbPd+5nyvW/WCs9i7M/z1YWyoUwjpXXYzLIh46MeEHn++cRjjXQxG9bthNexX
MH5yM9ZN8zKPkr6BTZN1XgwX3N1gbJwOf2wOonFjlx2snmZ9aUSPKxyvelzQOftRDRDImVY/rAAs
tnPt00pHNOzPYfpCZviNyJV7O9AhjJVoPzn8yk2VS4IJVjqpBoo5GrDgHiSSBCjZL4NbFghxVLYT
Ljx41+WwQy/QY6Rf1pcqY3FZJjQdkemJWz9MP0w5ZElUzf4+n6r5QSzgICLpWzGdH049Vh/dmX15
286LurVN8NSdmGhHDVcKi7nc2mV0MqzQjFcfDUqgNUhP8mZuGL/86Kg3asv4aofrNzJa94El1Q1l
7sLFYMhKA5ikNL3Fmb+v808jFLDlfdQTaP77g6iGe1E453bOWR5zQYS9Lsxd31PeAhRw9s6o93bn
WfBvyvPVxcM5wTyZVfjiBbmzcYr12xyo76nKPlD28Px0zoMaLwHjzE6vI426NntnLquhidTHkUSP
OHOCmzUKv2AJTYYo6vY0z7qNneE0SlMyLYzWtG5ct38oJ05nhizNeGQkXmwqyNm3VdpNHM+Me+UL
HdILnVe2hDLl67ITCGQ7fb5bwlAeB57g92XIfzrVxDOSTgszeZsB3+TW14gjr/lad2XTbUnnaG7Z
slDQzJ1Tc8DrhiCx86F9mEBLHLQxEwzPLJxgZKQgcW8TIhF3FRhJG+kV0hbtUeT04mVSpPdqzaCP
U3V1jIK8RZ7Turt+WbPzZCp/N7TqeRlInhNddBeFqrxvC8P69Aqpzmte+KfeCYeDXS/VieCsZeeh
m3l2W8Ze4WB/o4YvL1XrUuBn5t26ZiQeyS67cVCjxQqK8gXzn7tlqDrvnW4Ok1JTLYFxIRoK/RuK
MAIxYWLvdUtyRgY7AS0ojV048FlCb8OgaWveZa4CsdKXztbO6/TOB5VyIJT1I2wAezV2ALik5opx
qL20qm6JIF2O3qBXfG36FgQBxwqZA+OoovfoOmsTYQD7gvHwxui9lmMQ0wuGzxy4oylWvDsZqkke
12bauTZjinG2Y6hs5S7vzPrIufEYNC20mrrRO5Yrb8tqvnDrvXZbV6hb8v6OYip8xGrh7imF6bg4
M4KNKoo4SbtmdWGrvhLBqRZuFxmdW9mGm74q3cROA2+jqoa8P8oPpk/iHCzS3PhZXRxk5VrxMBDu
BU3BPDO5GU+ycz7FShQvwInNtbZAJ3Frsbpv5zVr7suB29iRbEof3N5adU2SIM76jd+R51HBtDlP
bnlf2AAeqq65ZH7w2oXI7jlfo5HqefzlPO9ay9xnE/2OevSoZTyi3lUFo8wAXgH8Yfy5dj00hfGy
QATbDAt6pMyBiyKos1AFx43RtJtpJDArrWnXODKGr8Kq7JnpIe9qmDhV73FoWU4Tb2qssKltTDWy
RnrWkHAA/NBB+VEE3hHp7v08dvOxkIudUEKeWaJf0dG0OxcVJKUWTzLcsHjUksGmVZi3q6XsPWNI
2igrm647OjS7rcelNI5hqbar9qG0C4amFDpr+yZcg7bJNE3hzoZaxdr5aC9YTHi2x23lT1Re4RRn
BGslI53mlXAZRUcgsdJiOuWI4ZmltR/tiFulzAxuZOjtxSTyBOrC+oId9j5YozGZe8tOHGnuRukx
ghiG0o85KBt/j81BGBSUzwQt/wwtcStX+1yF/jfcu3C2vo0WA8sx/ByYmFPmFgsO5LWMZRMlomxj
q4S5vwr92Y9DRY+7es+FkW/FFSYmeyOubFLf6zWkV7KWUZa0RNtscgtpB6vWO8kX90POAh1LNfjz
1UId3DVK2yeDM30PWqSGeaQpyrVYBv4QOznQnwYGRs+IWM7tkOQjJhPhn8nTOA+mF/sl1HwUNrXa
0cWB6Vsrb1OtVkA4vLUIdQOjcti70q4jJvbM04pagFRjVSMsRFoD8nGG00zcZk7k47PB2F7umhDi
xW4wqmkglCqn1eZTIywsH7YqdiVxvILZGdfIS3t6Dope/40Cw/6BgDT4f+ydWW/cSJul/9CwwOBO
YDAXyVyVqZSU2nUTsCWZ+74EyV/fD2VXT7lmvukuoG8GaBRqcdnKPYMR533OOWl3ksJvUSx+8rv/
1Xr97rNc+lPb/7nc8DubC9a5qPtfv/+y/fnr8LNc1O/ffrH5KtO46z+b6fLZ9hk/yg39+pP/2d/8
JZz/B0q8+Jm0/q+VeJ4LMZC/6fC/fuZPHV7/wyPpi1IyJG6ORSaK+p9pEPYfNJQBCZL5/JUcwG/9
2WYJhf1Ldzf1PxY9ntQHzMJ484x/kpFPtvrvqjvwESeKJXUfmBuO3Flw77+4wn2jLDzJrn5veuEr
BT7jqmuZCGLXeSk0556T5L5g0v7i5eIFuEBse3fatkCa3UJrwtcYB1PRr9QuLGchlH3wF76zmfRq
7S7MZzf4zY9JkkdAexV82sKGagslirlLv2hf5OjCkJoZ+//Ki+Ot1Ar28qF7oRvTu1Wc9FKvy4+F
Yo2F3lvgrbpGczSM9bRwq+ClQT3kN1Nr2KtqYVsTIFcU6vnOJmBpXbrIQmJS/QNRh5S7LnxstJCy
FsisWthZrq/PjpWjJS9cLZF70XW3sLbJQt3qC3/LpgzscWFy2dVtLCDdHli3X6jdaeF3c0Deskd5
HKDQ181C+cYL75su5K+5MMBVVjOsX7jgZiGE1cIKs9cZNxn4cLdwxMj1EuQLthi84JsBy7EAs1dc
q/It3YsK8AtadO6KcMO7ulILr5wDLncAzPCON3IhmnutHveVCR07uqW4+Av53C0MNA7Zbe6ru1l0
+SXlTHaKM4+vfIK3LAWxyq6bygzVxvAG5n1Fnb70sFt36FrWwWy1LjDNYlSrKhwahE5N3huWsI9W
OjFd1nKbkKrOqZn/VfG5KTP1In0Gl0RG+E9jbqKNlLRlrckYInR38PNNq1JAMJx7d65STByZ0ECj
GoO970yvenXjhFlx4g7ZU0Es2tHOYO51LkFnq/iavXNRJ6FOr5oT2Ka3rmJT8OL5Rs/y3UPytUZV
0E8qJUp4qRdXSyF7vaq9wq1XcbbsOUWZx2d6VMrjhPVgayg3eXMNJv1rCuOKDZYY+ZQYDNM9U+ab
MY/LexKpxNl0lkjcJQ4Q8CR5qyrJbJbhFsPjmHV8myfauOl0c7ydiDo8911KYUwfWuOmjVveP1rw
OFMqfG42QQzrpialsqae6mkCOP3e9OShakjOSRC2Ha9qU/JnomG85QXUAhBx4rPYt4kHqE3s9h03
iXtx6td6EU63JFFmT3Yvp3RvtwNPnrS46eJmOo+Rwxw8k9PDetB1kwbmxPtAHR83SAVqVG+oZy42
05BP67HLyV/l+7eLHZwuhBHAnsmRMP+VG3XZUyWK+DzVIHsxjc070ZvVpz1Cdsm+JOhpeWQJORne
dugFN0+IknsXzhGwnt3YzK9k5N1ZI59BS+vyH9mCTBQ2e+82sVRQOgQgBfHyxL+QMbxD3aM75vzB
jDKxgz2wiKwJzJgQbFqM+2za3r4+adTccm8zxnOOURPkUDwqf0NGe3mjqkWLAJOANgZ1fEL9NJ7R
uxiGd7nl3jV2aB3KVBL3CF2xbhr4ICPsiVgkm5dVr7eKKw0xNyMPQlXbTOXdBw2E8ZkWQOfGE85E
iaEwLpIs4YuqtXyDPMIoffZt+eYbEKvKziNAT8kISxs87tGdliDRMNLuS3You9mBP6lDuKiSEtXN
17uVq7y8j8OJUMU2lUUXCPIQgpJSpNPEzPYk6hYp1vHoFAZz5+Z7haHKzdhOzjP/wI3x6gHfcv4t
Gfwl87ktIvLlp9teax+GGmpmsMs3miVXYe5Mge9dG10PYRfeRoNO53AX7fOk+UEFx9HnIL/qOLMX
hnsZWxOOJ9p1zvyEnkbSHhmwJwfUnt2avUlbbWVUUxl4TCovHdexfmWYJJyIWDgXOITHViTi7DCD
XKfCC9eOW5mBcBEZ4nw6x6O/VmOybmV5ZRauvBWdNt6I0WBOV4ZsqpXnoCuWZCl7/mBtpoo9l4vv
aj8M1Ol2HjWFa60RH0XIaLI2PuuCFoM6iqtjMvcoj0YuDqZhvzei2xeefcdlkrHb0JsQIqF81ULj
pdW896kn9AXlP0fRyRiQTQWRHLmJltLOAF1Gw8m5Ik34vjeXYXGUzB/5YCMs4YRZ/G7bqhvvi6Sv
rnw3Bclj9IGgzBscO2I71r1cJWpKSVcSj84EPgM+ckjHKT/onmHuiRxO17rXV5uxSDkC+D1g2Fxt
KQZ8rXX0x7EoiXVOdfeq4YOPj8DR1/YgX3WR17SH1KteTD/MqbpUsed+xsYyxVS1/uaCz67Jt37o
kBm+TUjZG77rBNeZSAx6T5KaBDm/osWd0tBhRkQfzSHbh9TiMcck7DWY4Tx9eV/n7Uc0dXKjU0dx
xtakiFOix7MLis7Qp1UxN8uRwihOpXAoPFTpHR+rZqM7Utya82Rt0O0LBJVeS2joSas1LXroWsKo
PpF50g2jsgMRsSmKU/WN0aLBabX12SgPL7qc6dEuF2kPqodIhv6dkKTXOjJ3+lTLRyUqUm7MFOXe
hJ4sLVu7ZpL9KMkhCRy+hjBORfjiJVyHi5YkQOx8J+WBprFJ8D6o8RsuLjPcR1oKlz0EaigTSIdD
WScVbLAhvRFPafKYuD34Wmuxw+Wc8gm5ml35TOyZDbYSo5QGHOhYasuU/0qFubmZ5k4/M24v70jP
xfAb1eyszMUhWjXeuRoq9VboU/amDGGenY7UJpsd1qqhqW+d8S1iJe9iEIaosJmy4HzxkcqS8DRg
WhBXrSEFA6R2ds6GX/dbL6xzNBovfOqcUUMuaLwgNUGXeRNLPZBNqG2GNOlPuJ4tPjGFhICoFwXe
mhWXwbEvz6Un3CsLx91G1na+kW0tn4gN7S6QnnGymdu6KFadX2hn5u/2gZ1CuhMM2TbxmMmAfuqS
QtNm/FHkhnEj8rB7VE2s9hW8wLNTA3VQjlqsAbSgzFzVrjWrigOcz4c0ZxcGz61d6SULGKfEel/i
GA8qcAxcF5PEgSI8HlaGIdHKvrstSkLbSHWTOpp+3UiKeMnma3a1gdG6V6kM2DNcj/jjiJLYhUYI
kebNr0nTlNU6KQasZIpJ3SwYqcVRm21zS++CskmtHXW512McTbsGc8nK6OnstrN2uJ1T9njpULZc
uQbvZlL47qiJVTiHUu3V7PyzKKr2k3EpGxBn6rZ+5YTbPuMoppkMCpomjtH8Z77ixNssboILV9Dy
pnBH4H2m1qtWV/aTWY27kRLGdWvO95NjuucxXiotPS/ZkVWwowSjDTLmG+VQhp/1OCEPcskb6pIp
V8zZftTH8SoeRBv0SSsPqpanOKwvFlL82pVecphmZzzKhBwJTAZalIoNU+eLn7K6iqPba068JG5F
mah2aa6S8M50knrNV7hVIWNFZQ0hLaJayCUhrHWYDPolpq8w9Wk8jOx/55PNViUNkjBP7c3UJlRk
eousYvfpmGSMgPq+XOdOjKbbhkM0vUepB4izckxZGnuuhs9jbt1p9Ppu88Jf4Mte3Ut3njdimttz
mNjlNhls6xrE76WezXgzV84l9kstSOaO3nj8Q+vMt5Ob2q3s7+1YTgzpi/m7aEV3rXKE31gMn004
YYuxjeHaGwYTTARk1ho5/XD0bm9BLo0T6GN9CdmqbAwJ/Dxp7huhc3JV533yTXX0uca4XgAEJGHb
WkzjRaLrQVpTLTwMMQohpB+XSmpcgMjjHQP6B3/JzLRT60gaKapxlny4BoX1Vp03Z+oIgqy03iOS
xaHjY/9qYgpebJAM2PSHwIzfdaZ4H25qJydFGCb7+Nbam06MzS7x73XirfQV2MKs4Vrr0sM8S48s
3tmaThY+uLsqy+dnxvbZdRvl7xxAw3xTGnUPTtgttCTz1DVjnvc6z7nqa3X+4Q7OsmbJrtv2lBVt
G6E3r2xfnI2BB+DSSZ95jikuZpzYN8BYIaQFNfJXuuXXa3ea+ab1hXpyetUf68osTnM2eEQ/TV12
kxa1a+MdNaPvWDOpT5VJPG5zQV0I18EG7wdHQ2Y5KvO9D4RnFo4htMUF6t977khVeZ3NnNpBJMoK
UN60NJZ81y+CXlfFA3JUubEXi51czHYtC+PGE/MhXox41WLJKxdzXhxi0yMrW6ydL++eXVA93SSJ
Qg/nzm/qkE1J8uXzKxbLH/jsYv/rfrkB2T0v5sDxp1XQXGyD8JrDj2ixErqLqbBZ7IUjPsN0MRy2
i/UQvv2UNhBjVYgt0SGA9hathPnyYlpMF/vivBgZ7cXS2CzmxmSxOfLAHjn4ybXrR+VWSzBDZl++
yC+o8L9az6E5sCnb8kf3u4Lzpcr8b3nn/yfVhyg5cnr+tepz/Fa039q/wpd445cf+SX6+CR2kuLs
2pCSpH0ZAhXml+gjdOMP3Ub0+VlJBUr376LPErj0p+hDe6tPDhuApOlwmLDEP1F9ACV/V33wE/qm
jv9HLFl5hvP3xMGaxJMsCUfnmBvMOANyUgSHc6G4dgV9q1VdTSTOLElWSnOzlOeymIQdNHSONP56
7ogTvc/KWtfyqxYXeTOSXj1S37L3ZA9J3ZuDTXBonc041CICtdxt3gzMo88dnDIS02S4ygrY6zld
iOQL0ngarLp9T0N1x2roykAYRJBbkeNuMyhUFKeaCYgxT/eaN8/iNHfs5YPaF4VOMDOEDFn3ollc
x6PIsGNSpq6t3IYD9z6rvb6+TTSZ3je19F8JdTejgIB6IjWaZkgqpuwNnRTl5L9oJIuV3AVFMJuR
nOF4V8H5YV2binzDxsu7SevCYTLuqrXml+otHpgXAMm727Knkp5sPHjqBGMYWq1J7MTCr3CxnPPs
kDAHfnNau34xWtMoF+rMfy997z0bpzOWEbzcKMfTgX/I66F3TGyHsb4nGkFsusT0g9HUUagGjKt3
fYKFKNCnicQlxX57ZVXuws2QGMXUWxK/pIQNA6PNOSGBfftEFr48ELumdjNg153fGtOV5ifwMhPc
uEZlhBbvoyyJP/g82HdJymVvM5SGdhPlhUcoktPs23IUVLx3xUNEVPluJi3gtpwtF00ijMrA8jrj
2rIH41krwTih7wzzprTCpTE3Y4sPMXkYYjEfmZpMwzrurX4jDGpntWhARNfkuDWVOe8zK6EBeJL1
/KZNebX14kzb1cgMB4CO+V1nwnWIWlHdz/okz6x65anEJJDvrJm8L0gjZxAcrgarM5hc/PnvLgVH
j66p6K4ICYv1/GszNoDrNldJ1YaquMJlpDIiwmAbE39LQPrFY6qr9NWgOLkAT1Hgor//94r6n6m2
JiBFsND96xX18PEtKn9bUH/+xK8FFT7qD9rq+EtQH+cs6+G/L6hiwdlNwZr6s0L2Tw0dll3XdaQx
w8GjxarzF5ZdsLwSZcLqatu+7ermP1leKZr92/K63AIhDUQ0YzkR/0edVipk3dMf45zxXGiHUBZj
fSzw7+EM9zAUuyFp4HlqIt9R2Z3dz3Fl+99JwP2MyPO6t9zUtANRmg8Ua47PqavFR3KGWFMyw2MW
WJFqz4hpbv1yrXGK7i5Y30Lqg0Kl6ke9qCWD4iHOzPyY+nG7QxNJkrNLpDMiVJ15W+y1xSGXE7BC
0lPUMQkGX3lmgaV59pYUEgNyy+/vUrgsAFJdyRPtJHRh90a3m5yhvjL8Rn3MInuz8o6zst/qr5kq
3Z1exdVbk6c6Y+TcwVDbMhRPBM8XX0vCNaWJjvMUjXu9Kq0tb5R2hl+TIErusI24ADYyaKjTGRqM
7r1gomy3GRsnI1bJDeSl8Uyn1BJMXVFZP1ZwopF+mYhFvHSgIWtQ0Ge4a/9xtEfWgmI0d5XhP4+j
52wGfQqkOeR3VkKTitU3xrnJ8+YAysqZMInjU05H18F2ovja17JvflcjWhGRtLFxbB9r5uW7rNQG
RmauPEz0Cm3TQmSfeRYzsU088clE0qO3oG3KvW/En31vNBscd+OLzTJSkDFP9UBdeWFQ55n3Zhg9
sXJuAl/qlc95nD8zmIyvi7oiuydSA6lkmr3hKF1uyHZ0A5suuGLlUvZB0D0qE9BH7Of37jwSlobH
sDosn8jHmvKnLV5NnGZo+ukebbiOV5HrEkZdDu660Fjadzr+3IkInFH1KycV4cVKRXo7Te18I1Wk
B9FMinNkGtDRsT7a3ItZMnRwrZ2VZES75FDo98ppsxMZ+9Mp4jh6vVyGt7RcqVvV1M22aNvxHeA7
K1YknIPupFr1A04+6VehssQudxN14tAb70eadk+dhB5ejY4KPyKs0UFW4ZklhplOcjo43CMQDm7I
uHMp4CkmEAAYsGxFLQsIXO0M/iqkteeJoTl7FlxkBukLac3uW3fjtRFGw3aIDFBXLQeqgPL3j0Oe
I5B2lYXBnDNys/XVeIprHpRbO9VVizXjMeSkkXNZNqIfJdOQjedl/t5lRHNqbO3DmW3CDqMogYqB
PFuZjaZgkQANApPcha2b6P4zEn+6FJAcK8kYKfewFGZEZH4fHJFtDdTQ97SWM+3DOU4EZ4DDVg3H
KoRJ9eKXlnlLN5RLCpwntz1T9DAoUjUdS6UBsHlM7q5orlPVOpdMtSciiG5d2yo3M7VtgeOQyoiP
wzi0WAsvGVZs6gpU/0SSQ0lWTEE2VCJTNkp+CK9fAbTaue9BPPo8JafkPAs17LdcuxWBC0yPN2Ie
Eg6sEieJ8ubHYaSpYVC12EZsfdeRP/GW0GtwHXlFc+s4NRyA1zxQp+hcfLPfN4U53yjOYAAk7pXd
87VmVmfAL8gcuUQ55S1RUhrxMqLFaVJ5033aZtV13g7GA7UcyVusE9YOkoDJUDXq4E1xJA8FLYP3
Y1IbgY8IY46Vfs1JHlGyVHehVTenCQogYPHUz1ili4DxRBQUOUz5oNf+OjSVfphr8cH00jlXVl0c
iLYyDnnbO6tYQLThIjZo+JDhriEDeU016oPmUr/BRtbs7pGtps9cr6pg1twJawkShTvVbNYagS6P
phMFIsaB4fZjtY4xFeA2nzu4wX58LDKdxouqCAPHG5xrWrk0RmUsRD4+g7XEjv9qlnq0n0hgCrQR
D0ljUSiIAm07r1wEZ/IlfO1T0A8CARuZAZnV/Y+EpsuzZcflpa3h2CpoOo6l+rdwzsNNDfiyhsca
yOZuNYgpMrBejTnsTk2eXVrmTACZThGYwDVHDPq4owp0FTV6860uYv+mjZq0XnW9nGnRhILMLbQ5
zvzeuk29Yd27kfUZLlo5/cjvbHuJEWLNzFYyVey8MTufIg1luaxs9VwR9RRYopovZHf7DHxK55V4
QL4bplMR5AOyRUfjSBtdr7FghWAsdmy9pVTHrjy3hu6RAFOzXopvil5tJlfzI4KMDAw1GXt7cKoc
6kza93BkI7kbs3fI/ewy6+LAuQQXVsMhaZPq1PeQSW37a2rH7lSVhs/aaJMS2OftanKK6DbJ2gnC
uw7Vkx469ZVv1u5V6EUV/Gwq/T3rJvb3Tj/hjDIv89zf9pSc0ipKCg5ZJWlg89l7SCYjX+J2Vnwl
4l3BAebkzDTA+J52SZnHoT42pYduLcMAINfb02Xab0Ovyzat2eeB7kn60qp0Vzptf1iGTYjsQFyq
yq0DX6ho2+ckboRdT/0Skhv5QTI/hbQAcSmS6lsU6/jZBt05zkPrvgs3y743gDBnu23uWjO37wns
etQniwBtX9ZISaZ7aDr6JL3e7Te17Q6PbR71V7aTL2Rfd4gSsvzqNF4S1Jk69nNGANCohe1VjDLG
qDy0Lm1YlLfzEo9DpJA9EA57RziE8UqUhzphVR9ASoUcnkUca/tsHuxTXtHOacT2tjQT8D6DpAPH
ehpx3AH55NmGDme5csMhe/C9sNpBANU3mO9FMLYVUUi1/PQYuwbMxKIdEwNULLRcjjDZfIosSx0r
Ow1fBh9u0W2Hcl3NJDHgnJt/EJr2wJkHYhSDyX0qeQidSJl+kxezchLzGktgsaki8SZbhJi8tIjS
qcpTRl4jKRTjiYYX6zGrU0bOiWltLGD8pS/c38ZjKt+afhpxYsXNG7oPoqBPxTblUMPBVUm/zZz2
bcHoGfBiQcCCSHQ6OlzWR9+03mYOPJn6yvWS+Yoz8Yqet+w4dke3dCzU+jIfzlZGhic5tnCxups9
JppT3LOpSo9F7XGptwUSU6xSL7kpy05Ay4fVmQSObe6YFVSY3lyTjkOY3Ghruyix8q0eGeGJ3iqW
HSPp9yE6HLMPQqBuGRGMB9xqnLW8vllPSWLDM6g3jmZJQG6RXe0QTOebirl6kNqNuIJrKra2p8Zv
vSe9DHwZzEqmrQP/lIXQcQ4T5bVdzuN7kUbVm0N6sM4291seUo/EA/mR93m9TVB+OSAWWnOABfRo
FUu1fTg3qRO4dZpTr2qlxXU1Gky4U8sh3iivo4AcjQ9SRQzc7zO+F6rA6JDwl4F4mtyw7w26WM+2
Csv4VpcVV1AlxdXMOsDkiN1m5Hn6HnOG/sMj3nLVTThC+o5BcYmEsSHhr6EZqG82pOfe2eRumatW
nxDTZbvAFAa+a97qN1J1w70xSrlxMX9g7JraFEihb3Gvae26VhQPESsu3Zc60ht/K3r4x3jW79yK
C9KK2W5C7FYn3sfKzW7ASFkQ6Fxjnp4aW1nMxAjee6PsE0L2cWSW73GfD/AkeZH5+YM7RnTaXknb
i9NjN3p++aCmgVeNmIJR06aVX7BTXiUN6WMmMIZwh6DAjbom7it111MUFmutk0lHhPI0flLRGn0o
n0fIHsF+4WfKN41Uq+1kDNWB0czYrMRAzrbeevFVP3j1Nai+DcTmlK8m3zwznTDyjphAQEHrdY/o
voNqrMpVWI3FRyN1cV3GowfqT0vuSqGVnd3eeZgJnMIPajsfVkanNKaguTqS/682zFabS5PTSZU4
ecO8vsrvdBVBGwILLMZe1e/Bi2FNIyy37PqMdWmxhTFUmxOuFKd7p8msDSkVxlEvWnIydGrbYlsn
tD6LxrXtTLm5cjXuT6fGjfKDwXpuCUQYsRRWjPxaoVFeq2dpgM8suSgyJQPq9KZXLDE3YUJBw0rP
/PEeLCFcD0kYywB6WocUDTGddW2LwWph/Mk1dHqSESrvxvtCXNlp9URokFu0amkCvxrzJHkIvax7
7dh6cmZqh/NUzOF9bs/t1ltebJlHyU7zO05ftpHTMSCx1BIPMQ4bp6/0w5S09b2Uud6t45I/2oMq
HNK2KS4YOYjUq0X9hJ4lXgTZRC9FGT7J3NVPlkEOBENxXdubi5iyKoAdcSvrRySo6p6crrZYS1kV
7jWxFNZdEdXf3LlhXF7NCEUrLdLnAFmFy348hxYJQaRD3KTZlD0nUPaPXqLkjm5OEQZTLwyQ/KF7
RBJXH8NSFFeR10IwQ1iteUTFNmmQ49fYGcGbHYQlJHb8FR16EQ6LyFbfZ3Z97Pg1BMmmHKfb2vXS
aF34WXxpQmy1ej3DZpDnZGxa9J6NAY96gE2KD9E8JyeSkuNDbvrumeQSDrCjw4dJ175nXjk/0ior
7ZUjHJ4cY/Zyo9vp9JyyVFAEOygMAYk732hTydyW6PZdZwzZpVj2SdTGOYQpMbwW2M+vpEGnXsXO
N4iZVe2LRAqCfkg05vy5bGSF3Zxsk801OU9LfscMATbVyiVNhOzV+qXslJffiDRpTWL2HA5jteAq
QAhaG2EaiHAUKEBcZ/7QmH6rW+Ezb3ci4Ia4GLTpuaNefnyYlQZKs9I6Drzdba+3pmts+t41cHH6
iLzqyEvSeIT+hTWONrMVJZPv/5FbQxtZABrnORx3UnPrB1jw8ekv8s//JUBYoM78Fg/g6bQc2TRK
sCtD3bH/ljtb1aNKMlOoM601NuqrETFOwmkx5geNgFYZvhm5uRsS4wqb2Fazmq0diY3nyuuqnzeE
J2x4qjt/TgC9493/+8H9LRNX/3psDiVFlkOvuf/3lpRcDHWhS0Odq6o5uxV7RTILhvM/vxMYTYuU
BAvm6u8vgJ10I4feQZ1jg04Y/na0bFu45fbrbv57yPMfoL2EyCy1If9aksTbTxPu72zvrx/6pUq6
9h8kLnE7BoHyHrVmRFz8yfaafzjIIy4gEdwucRl/YXtJ5kCPFIiTJj33pB3/dezDraEfug4WWoNB
zT/RJb8k1r9+h8CNfdd0XW6SR6ETKfg77MsBk6PlFIq9501FtoQkekGj+0xai6k+xXSzjIV8myCi
6H73wuhR7yvOIbpZclgN+zOHM1DHZgB8cKWQVP/a3m00hRW+3yJ7YEpEwrCwPHLPugc5yNFjDa+/
6WaVNjH2liZ8bButeDKYuN5W+cJADobWfFBfUR7LKKRzjsyqbwx1CHIaDQpWzcpZkDvH8sFXSo1J
KWGKqVnm4ycMrO8mV3HLXCkq3U2Dfd0jOOtIBXfl7ZxBFg/sZkOyTgljtAAxDSEwDpUa0LyNuw9K
a4B/RJVza7xcLYyttXY5x55FM2brJo28tyzNPOPYQt3xspSGQRKWCk/4QnsELQdzOJJyuZGewlXO
Ug6626bfrXwujuHSkGp7Mzta4vRemqQFphHSWmsugaGZNNWTYSTTJce/FR6stmfqXOXVLWNznYIX
CXarj4P2yngMOgTfyWOkUxqaEmzEHnEeavepamMivFywHn9DFi+7IiIDicmWX72sLpcX4wb/2Fxv
NdsRD1+kaV9Z5NI6maperdDyTl9hhD/rWH+Wo36V2RITxTVswkD1wCGWaLEMm8uS4JfpA9fRTpxb
ZA3SSLuWbaxZFVTQevaA3QN4hOggralhG1UBayoamCV8nvxnJuh3gHxwuPjVhCblwfTV0cylLXVP
FRehV8OfCXmyuxz2lhy7OLB7xzt1xELil4+IAscWZftPP3uOCxiDJ9FrNKA33lAOfDQt8WAQABau
cGnEO/wzFO6OnW8ezKizvxGCRWKS1XkN2szYzkefuSbPMxfl0aBvlhp48iUYXS4JjUaNkRBb0Uxb
MiNBHoCi0D3cuGGSxUE+SHpmVE5QUyiZ2a3tiYbBtTeSGLL2OJIZZzlkS9FvJ/Xw0FUDZGpYJt1H
kkCjQArzawuXJOJsWTfZDo2e1lusngNpCLBL/IblEW+KJro8eW/uKPidv0qGGzXyf+YaUvgrtHEc
I96WucXy5uDtCCwyJ2H4ekO/xU/rnL7ukTiNdCQembQylQk+m/Ww7DqSpW9aNSl9ymQBhO7aUgYt
900jrG8MGAFPrRDe2dGb6rVmH04IC6DvHjHbtu6gaf1NatZReYjNuGk30ulNMyBHl9sPzYynNeWw
qpHMnGfiPibt6etRetnch/tswjjMwdrmwbLl4FOmGSYxgA3JCassbU2COhxFfBgWYDqsaV4C+S6z
5S3FprG8Jkvgyrmb/PLoOy0cd0PQxtmfYjxznk9v7AovTbxLS4pqVn7OZd9VGSsUOQ3N3qLKedrG
dZX9mGkLxhPmaNxXAaPCAcTWvHxX9oMqjy5h7vQKVekYLF4Zte58Y97D16mLrkiEIyOPjmg+aSY4
IpVsfE4Luruo9qxOndcHyFweyqqh4dZtjdbf9HkRotNhUDg7+tK24E/+E28mW0sCnMSF8NQOZhpZ
5rWz+lYiJBvj/cCnGNTZy7dQmAbnvtC+6+OufU+WKKQVFTj+U+Zn473n4LNi0sIH22hQkwjHLrWT
o1saz460NxMgHsU96FSTYX32C5IJeMmGeT8yGsPG77vvdZW45kYUpbcY1+gmWhnY7Q5hSHqrWSyv
70T341PjgvM7fV0O3GGubpg6o3gMUHUbrTNJ2gGJ9lc5dgjiAGITsNmLUAC5YtwVoiou2VAS8Tyk
SxaZm0akxFBptNVUM31abm5eyQZKJhk88ZFxqH7ywn50tyAERNFAQ36a7AkfetueDksN5AYSiojK
WHtsEq15igyrXUPQLnSh71E3L9i/M+vOTmIswKv8scAuneMXC/X5k8h7YmJMJr1Hz0ax4ETgThyc
Z2m+TuyrjwD7bh34xpJlhNZwTdYOB2NFqceSEmPAq8vZPdlhfW7IvPtkzBhZm5mqpgxhoJ6uCg7c
Z0QiAlA1Y+SkIKgkQS1txSlLWc3vZsuMDoPu7zoUpu2MjwRDX1pdKwBZ1MJe3hZDw2oyAZbGWtVf
RFG8YNjgnNT57UyIa0+ydpUWuvEoK7N8wtPf3JM8fxvZQ31B3wxXKmzFRQrh3pO6E62yfuy8mxqd
fx+7WbXRw0h/CQ01Hi3pPcyh4Tz3GAt35WhDUNqqKIG/BVE4+6Gh9ys11Z4MF9xslXHbtpxWnLyK
7E2mR/pJlQBeTPE7/a6Nlhxzg8CkLGlIFk44S6yioaN7NVN6oa9pn1FvshrzjMyv3k4ICu37fE9V
C81+mrDgF80alnzUuweD8obX2PD1lkshbtg+sfpVjq/4MDgmn2plJm8jl/cjWkp/hkJ+Uw2H4Yp5
DoctNVboHYXsTq3DSWCA1bmnf8U6TmMi7lLhdD8Ga2zeJqIT629jp2fDXew0Mjx2/8beeS3HjaRb
91XOC6ADCZu4LW9JFj11gyBl4H0CSODp/1XdPf9I6jnq0/dz0zGKEQUWqirxmb3XbrEMR3lWLpGZ
v1rTHF7iGMtJdt1FUArq06BoT/OOksb32kPf2cYtLgJvDf8xusJWi6+5YsXUXBWzxAxalzRRw5tM
PGDRUCbvgjpw0S+M4JEyEkOaBSl+xDsiXDmb4JbKVdybxsXJKtSayB5xpOToxRxPH67ZKZ/I9XGW
blUz/a7NQ2a2z/AhCQqD3LfCpf0mrGifjml3MibXeR3HyEYyzwRmSWi8WLM+io+AKaJbW1b9uffb
nezBgGa+RQaqKZCq+1WtndMYK4dXeBUNxY6dY0e1esXDz7jBcWhtzSQ+FRCU8EiLlzAlYCvKvWLR
WpXDLAngpKdZPoiamAYcOqiCNYiTyA7CecWmxgPvzCN8A+ncZCpj1fZFwte8kwH8lqrF0s/Gj3Et
+E61zGa9MXw1nBHn4vvqoyfPbMTxmhKxEiyBlhE84E2giuIhgUOC+ZbyY2MR7bHSAO27dW2ifOmV
58LS7+L4DioSO13bnB5NhEHHqbOvyZD84ICt4cwJNDCNR1K0UkVwsZU5bOuyj/mj5dRHu5ibe1zr
+cBoshvXfXWFfcZjJQ69k/as2xDnt6G3lyqVpyqLpiezY/LByq1/htP9CnQtxB0gyNuK9BA9DTXr
er/TmOGbzobZXuidNiMGvUEsN16PMHyhmH54iwJ+PCMVRmMt4R2xyzehIGy41m6zcRKAJEfMU6ye
8bVt69GR4FZ44UOt2wdE6D5uviZM1zwOWcGlHYbwnGgNGSJH1q24h0qGIaBNYwc2f9QdQQghayU2
sz8i+WItZFl41/gZffYLzbjB57z5kjaEEDMzG9dsS915h6Q4/4yYqtkFbRCu82tpVRcdcqVhYrfo
4Etf5kXqrROjqdfosBPSSGR/Hq/GYIDmajkNzZW55eP+TZl0z52s7Seeb9mZrHubHVMRaBzeKkGm
n7nVfV/oyLvPIYfMUJoYaA2KraYsR+cjw7IZbVhxlXyBTGpBDBjZbcRDloWCPoFx7dilZmDt0k6G
l44y4GyxkObknezo1S8GogRnO6XGcoK3qBfV/UwyYr0oophVSD+d3M51bxpGX0StNI2x6iu3P+Cf
UUctGqD4ZQLl3lXdYzwWB/zQx1rOetXgZLgtuqr7DKnb3A6qaQ9EzYXbNpLPFGpQo7t2Nfitc0nh
lmMgG7Is22AojvID2Qa4M5MAuwYMBWzxyyovkcgWjLTvexsskM6KHKJcYDG7ZoaIj7LsuSF2OJ+y
vjWKz9OguzsjmJhZxUDY11GduP2HVPUj8IEyg1aGaiu0tsS+EI4batgrse3fVyJ/qRlbxkdYQH54
skvzXY1BfWaxn2FB4rOwz8Yk5H1Opww8Uhr79wxRXPMlKfhf7UgYcBneVXXXwJdlhUx2g1uPL3OM
98GxWxn5d5FVN3c8/faq4Ak67r7r5P/DdOna+H7HnvxjnuLQtKPPNOnTr8On71ywAEiskCFZtXMn
0AJLN0kpE3uRU7n/+kI/TbH+uNA1DBVru7QRuPx4IUnmoMFKsNrlce6+06cWxVqVDbUab4Pz3oEc
vhKeNfXozIH79k+vLsmLIowVCzIS0J9HSLUxCZ+1RAUTorYevXEEKN8kE6VE3u4qbXBVT/nUg8ZY
UMH/+uICTdZPN5nJlYWS3RK+TT7zT6+dTYIRVlChd6yI+NcBXPXO2c8a67FMOzoo0g958QMQ+aOK
2LwsTHAc9ABA2jEfOVo8/voX+kkEy3thu9cUURa8yMgQhP34XkTB2E9WRDPjt62zH23GD24SW4/z
5ONcbcXfTgl/GhNyQcdGQWU5tm861IdXAup3nzIW4ZPnmh0D3qINTgpd9xu2fT4GmCChQVQ98n7T
cW6iQfZgGVpcD9OSlUJcnFMXT/PG4DRfe03ptLcIasVNAaSnPrTojZ+HGM8gDDg+Sc5chtTqhdd9
MSPTDpjiOGp+sDwjbNeNztpd0vf0FtDT3it3GNVDR/pUt5mVEKzGSubHzicongC78DjRpUeInWjw
8H8hB8Z5Wvh2/TbmE4RqGBHf5DyUD3YQ0cYp/A3Fkklp/WbCg9SniIbYuD4wTbpqYYSX2ej6bhOk
dItbGVXtbuIvtoR118LbtrFAit8JWb39PgApvEb8MUX973jzb8abwiGJ+bvvx18YwgQiv/8ouPz9
B/6lYDd/E67vc2jx4eVz/edYM/B+4yxjw0HfE/gW6QT/Vq/bv12hAlhjOHE8fo4z9081uwPCwPMD
nIKIMB3GXf9orOnYDEi/P1g4ymxgYZ5l8w2zfNtGWfr992oqlBpKPyEooin00QBwCMDGyu617WZf
4IXNe2TLCJXZ60URpNgwu7Hton1LU6+rMdt3xh1QUlwmcT0Nd46twudsJl3p2CRaf44Vwr191djA
HcOytyHkofHa9CIM1iHs4efJVeOlxz1PmTQVOTizVOZfBmAbp6Hp5XOM26yFFt+i2lQMjSdWV2xu
aZD3ccCiCUVEvk5jG/aTVwYuHuHC9r7gAsi/lqZP05HPN2mgB5IIGuc+C41+XvVDHX5T9lzcAuE7
AxPBcTqVSfpGw9q8O2E0vGiMf0uLyvYbdvKaAUjk4otvtX9Xo5crVnqyuzt4x/oMVVEAmMIn/M0v
DONSlSnSA38oopvBsMI98Sk+WoVOCmZgle2crDjNSH0H9kfo+og6YSYrdpd7YbfGfxq/CcokvbRl
IbfdNSKT4Qsy10kQO9S7/d5FqB7tkjGPtnj+5IETc9iala7tFdM/76Fg0IfAnEAkfzFNsQXUXlg9
UTkILlGqOlXwZRImFf5EqhVixXzojx4twtIKs+bQh1m6ZlVKtg5wF+x9jQ6OLXFdCxeHbIl/qJY3
PGSImAsHv78f/KLZRVNc7YjV6D5iI5RqGSQFonVn9uqHJh/VQfjSALCnuTlBjhXYYOR5K9jUm7Do
5/Q28aYKOxo9wmve43z1OHLlEb8SO7p4nrRmmesHB7TMoaLdG9N1Djj9FlUTeYaAK7GqejUSlFGj
cjSTTh1UWtjxwot1dEcF9o3ybup3ppobwId437+RgcAgGEAFc/zEmdXnsrU9YxeirHgOe53uB7ts
1nMwpddsKW94r0Ug77yxHVZVXdIYGXYLiNdu7I2oAhbTmiTk21l1UfrcmBjhB85qmWAeFLOhFOSy
IbkfJ58+yQomkX/h3bVwccRFm3BvtVMiYTiZcztVYBU8vwhvog51HbNVtqEOre7ojrQ/DFzhJ3MN
XKTQa+cHp2OoOpbMAZc8gIZyFzJjwOQMgbTkG7ocGLocJgV1mKyCgq83g5OpQrYWZePCL0VLSYvk
sTPrAsSrCDfQuqcFnaGF/TTAdEWnu8ozcbRUgKDAhHmsId6xZNsxfnBPcw2UcjJbE4NkOe083XDf
ezJFUH46wJtK0F564ZSNeWO41eStuo5Rn92GSHowFR6soi3WSTr5zLiC8dQD6l2NyIW36Id7fCA0
hkcPu8kBAU1xP4nSKRdJ5blbLy2RbgfdZY75YmZV+g3D25MwOAZymX2RbeWsUo8oowre/6PRWzkD
JA0ArWTvkGhXPLBY4NSSyDsWQecEC9NLcRYiV8VXDgh7sFgwD312h6bnGRByvoxIWGIoau9SFd17
yNrADIh0CZqqXKaJObgLjYF2184eSrTMu97tanzElhqvzGEK9j6R8Gsr95AOWql17xG4tOJ4ytaT
07p7pKfF2kNgrxcRC42zG2QmBUeKKApZwosNi53mCfxpnJHdpUkhO/i98h8xTvXHevQA3zK15Uzx
K84OdBeh8dkk7oFMwyyab01iw1hYRzhuBs5GQH5yhwHF2fVYWU6jMAK9jrpIb0Jr7peqNIsleWDk
yyZZc/P7PsBvC3nMILWZHvop9HnDRodkBLlBo2BzX4kHNjflQqZGtg5n+xowGuXcbctO+aJKIwg+
J4wKuef2gJs30SRcxvBqTgnG0Fu6RVQKpouhuszmbcH0aW3Kmmh0x+83bSeL14Yw0buY8nZaRrz9
rymCe8vt0d9lurwVzPBWUx6Zj4ip82/d5Kg3X0TOg9/o8gKLOFpPbJk2Oarl8zAruU9NB8Jsnhlo
yaWVc+jGSf+QODbC4Liz3+2Oj7RtN+NJWw2QaFF3OA5dcdt1LgGRCoN4V4zTQyQKTyLrFgnZU9Ak
zSAcTp3LHtuM3XQJ4TlDKiM5MvPoFlhUukuwDCFO7n0wf4P0werY0TV03rIWoYrng5mD+ivo1dlX
5+FTjOwqXpB+033CckQgzWwMyckasm6HY73Biir0R6H6bDnb9fxoDzZpPmEKmTjPExY8ftM9ob20
TjMK89M8VniNc89M+bw18b3r9SBNo8EChJPWYIEaNS2xWscvdVN3oAbYN8ZdhbWdg6nZ8UTX7zFR
P4927EAo7/FZrJE6ItuBMwh2pgdJ3qqLIk8gJRrPFkq9mo0HNQ4x6Cgy83WCYVTSM/lt8kKtf2Vz
qMrreRJlJvK6ubq6mkokm2sccc2K1AINbMXU8xfJgHcdZlOJ/SzhCI4xubBUa0cGP0xVtqNZPI5a
k+qbjcSiohHa81bmKxZm+cWuJ6ZtJUDuyKhXDWEey9+Lvv/Wx39TH1s2IvFf1cc3X8f/2b0XdRcn
7dfvC+U/f/JfGgDzNw+54O8JG9a/C2Xf+s11fQuxkQQQdQ3b+Heh7P7GY1+4bKtxC2EApW/+V6Fs
/Qaai79+3fvw/f1nvqSfhxzyyqjAPso8n9+C2vvHMtkxPEpC6c+QNuAW8p1gcO1Fz9/dlP8wSfm5
x/39IoG84sl4nV7wU4+r4F3UQSDnXZ9ZDQyqjqxV/xofmTlq/etL/VT2O9dLwZiSPFZM33Ttny5V
FaFu0gjLoMZpDdQJVaNlIQsW7NEXpH+pXSFaY6tn11kEcqr+5vJ/uZ2U6ug88F8KwZv28zAFnjqb
Ig8gRVqOj1bhv0hGw79+hT9PKOT1Ei71DaMKD5/uT5EobWtM5PGIZueK8VG79nMXiGrZM19ZmHPz
9dcXs6/94Pd9FOMvcZ3PIARDZEQvdR3gfDefsKOGbQIWHSgxhHuSqUvEXRVg8s3csDjkpBSwC2xI
M4lY64BVgc+Kvj2Y20WRtUW74oBFT80iPVjQAmX7fkQSuGQLEUDPzHMWRF0XEKFmNaIeF0UcMFYO
YN9T6X5Y6biNBqIXS0ey2m2VaT1PCLeXxhT0xQqkun0TN32wIifGXlFi6+cpDdtT4kXAJ2zLb+OV
0wTFo+fm0UtCNhhNR2tfwohwU1eV2b13FfANDvLAPlLRTT+QiRQVKIsrDMIL12RaPvQzzBEZnWGV
Dhsb4pTj5/dV4nyGgn9RbUVF4cjiwDn+KRrQLgbXkbXh8m8WEA5WWT0326xxwQSUYuV26fgV5Xez
x+V1W0+k2aDua9eOVfTrsRq9G6155ATkVx6syH72DREe0hh6TtMhuUuG4SsVffCoS4byk8DDNwdN
9Kg8IkJ6ybMqGKKVX0VIBMZw2M1JHq5TU8fnsnMR/TG/D+U0Ht3I9LI1riIeiRES4mCvIH2SsFz5
wWPjD/h2pMs6RyZoMMw0JYCnFqHYlJoJ1JODAPElzgZ6lYoElbUkJPqxEtlwhBZGQ2IjrEzYc5FT
1rjxMSya9lxhNVpb7F6JKMeW3BRNetcgPEJsUIr1gE1pgz3RJI40IyJ6aDSs0cTq3/qEBU6Er1mc
jNmPHpO4mddlUolF6BXOKm6I+lqMiQj2s9GGpzCM20s94zQiW/MUkl3z1sxSPWIPzHaNEYuz0La3
K9DIIZjxyAJH57iluX6j/kQqmkGL2LDn1junS4KL6UXoZW3oMHNkVHfEgq+srp/OyB9qNr91bm7a
MW3eKN0pABOPllpoN9m2gdMfkxCIXTizxkv8bhOGKJQog3xkACL6lPZZvOfHXtjrHJwibOCdjpd6
yp6gtRPZPKTG1mFOcVQdluUkxuFHRN54McJRbC0bF7gw63zHnAOPB0Py41SZqKLMCEhMMfHc4BPN
uPVqUDIvdthM750B2oeqsDwNUWowTvWsLd0J2tXccKlHSVfbZGHjrxoTwyAKARsMKugW+9rjkv1S
x9NBGzJ8k5kiwVBGwZaI4fGo0zRFL96PRMIb8ZaKOeS7XwD7cmhEHPrOZeFmAVV0Ph5mKxYnjRRu
E6ZgAJGepVCHE0Lh/PjdDu2XQMykoChl3id6MnfWYH8i+udkyDx6yIhGXgifOw3F+gAEibzVMGOM
4pDTEY6EbzeSUDq2uGeja8BRN2HOun/+kmAElKws6QElY5B9iDl8LQzzgj5/ozSDh9TAHFMFNWb4
7Nq0k6761ArDLzieRkxGTVttequy37sBYW8V1+xwCaWvI/vRdevrCjxryz3R7R0Utdp+59yW+6QY
sVWKGKoJTsN1HIPtRXJbzzdhnqnreL+enioh8xMH0rwXtIqL2nLf2mokIQf7D0yzkB1YHQLyNWMG
p+U25gFAKo85KMTpKIHyQpQ33RXuMVhP5AxizwsFfGbZHpxWGqTlGAj/M0OSB519DXWQLuemW/u9
5bz3plN/pL093NZOVwQLAiklav7Ju00IujwF2BH3XmG1Oxt3wKoa5/GV/FF7QTXElc0gnaZl7vEF
ggCu029BauQvApjYI/Qd50IypgfBMxBLwRavW5BoZ2/9PFZr7+pXFdrTXwhhNq78BIwfQHCy1k+v
RkQCMQKGDEskUNfEL+0gweL0yGWTo0j3HZzHCe5DeoKB1Zg0djAyvGXT+J+RP0a0twHvexO66V5C
snzMOy0IG00K/Cpg7/xhSnZW5gB79oJ41yfQHivduztXue6tR5bhLjai6JN010WUTNucadOqQ8P+
JDi5VhZD1Q03iT5BRmLpmogf0Edn1gO76rWH+utFTZnzSQ9efOO13vzSlfaqAgadLNK6bW96UasN
nhQ+ecRq7ZwMLDWJYMaKh+c39oz0SkgPN14Udnuej+N+SEGsBY2ufO8I2niycOrlXf9HXfHfIv9v
inwmXA411P+u8T2/JyVl079D9P78iT+Lew8Mi+1RH8EG9CTZd9SEf07CffEbMnD0vS7yGabe7r/r
ex99r/QtSRVnsfOjiP//9b0N+4XpBuWrYDlk0YH8i138Z6kN9vgPlvH/tfQGcMCH0ub7elUzf1++
TQG8BKyhM4S09RSs3elMI/rd3fg/XYLOBgGzoFkxwY3/dIlw7HPYiMG8g6kEtJpHDp5I6f1NJcq9
+rEORT7y/VWu//93dSiTNa3dmKv45afO+FTpr8r9o839B/fqx0tcK+/vLkEwmlNSl9KmzBffvEyo
HuaPX9+rvxbvqJCQ6Qf0CEJa/k+XQOhi4TggLoCSEYeJgXc7qatLUTRbsBDFP7MgXPXmXI1lpinZ
p3jXbcsPLwjigXKx3ZEvFLkLs+M/LNehC0d1vvr1C/vL23N131i2H7DKRLhu/dRHmp2HuU4LXlgs
o0firwkgTAdxNhVz4F9f6q8dyfVSaK6da9YkqOofXxXOKkCINpcqWQWfslxdHVopIAc960UTaTSa
eNH+6WeD1wdakVw3yeSGbfmPF3UTOK5GlXS7KeMu4jfC49NKpN0G//n16/tLC3u9FKWZj+bA9P6y
gs5so57r2mh3BC7RueYhvhyjAcWXWQig8rxt7uoJnGOWz/GZFFn9N9e/fiq+1z1cPzXAUji22MRx
NP30qZkip6ZSirqdLIAWeyUv0GvGp1+/yOvn4eeL2ExJ5NVygLrC+vF+alGpCc1su1OqEUhwY56O
kW+HN7lFTu08MV2HTqfXFT3k5teX/k+fH1QWBCEFnFnievh//60IXFQDkWW3u3TMpnVtu0wSU6KK
l75h5lQVUUwqTAzA9NeXBWBx/ZD8+KKZAjm8WHDujhDWT3e2y406jYam3blG2X7mcU52UGKO1tof
OXXcMMvv4TmFjEnJP7I7s9+A1OUtSKlfJj2M24T64dmKEfvik+vSVav8i+UWg7uKB41rGgHsBjWF
ubIVOTxiCMk8N60+XvhFnxLqKTU6Z58QY4/pi6zqT4UEcEn0yjqvxLDryehh7E0NaQTCo78m4xiJ
E11R0yPkhL589No+3cdm7h+JFfLejIJlyyJ2p/hskit/zKN8Ws6E961jw6V3iYqeD6pW+Wrus/5E
LvH8lCj+GNcx5ka/QdVU+IcwAYEqEUOvALRDbbK6k5NZ6kmXk3MZw15sjd7P1xXcmD0abYbbvXA2
gAVQwxETcZZmVqxxVmsYOnq4t33FPwIg/kSAw7SuZmlNC6LexJkmjEchoQ7LqOrjS5gO42fUgNNl
mG0ct17IKsUfUq6XzF/H0gtf45qU9BV4gPnJG/H5rMZZfG1bNMOY9x31zWgcHS8BVapnAC+QPDQi
vMswmPxD1xuMyedcTS6KyQJ+NvNn11sVNWJTNqM2E6qrlztkeMviEtPoMnCVT0BsatykkfNVdQQm
jZO65sTqJ2e2vgYsg9+0xQbD6Y3kVWUs9UDbckvamC8SSravs6pahi1wAXdpw4mR5jVvghvO6hmx
KPplze+RIls/FCg8npPrRx9/qX8sZB+frw6ctY01ewvB87r1sNJ9VCI8DloidkeGmVssLzOLU8+L
lgGWXtr/yaSryGV0cCfH2hGczQWs+VqSp2o7FjLboVUZ6N/m/kExwV/OmFP5YMiE1NxoYruZh9lB
cvbC36/69RAEzq0MuJ2LBpP9qmhra2VRNt2gIUvTfWp5BUEfODpJvEgEeShtKO4dsr4uU5SYDykp
dxpqY+LeojlNt3EUmVvhtOEH4TE2+2nLCG+sMSBJJYt9v184AtlbGobO7RTjB4eP7i1Z6DuHqW6b
U2P4Ao32POw9MK13oWEb266O7TtsANFpdFxcsM18Af3djUvtDuauZy5h7ZtW4ZnqNSsYEHfhh9IE
FdBjVsSSG72xraZYfnPSTH4zolAtO6Mbjy2iio+YOdw66huHup+p7droFDFqgOG4HyErr5WYNeG9
HXeyG3S+jqOaeUAnph3gX+uUR5HzaOpsXoeTZI8AR1hspV9e9drO+CqtcPhUhm58MYvG3A3sYryV
02vMt4AubEJbhfwsMvbNgEuLm97W43sLdIjooCi41Zi6H/OAHoeeTRpr3YD8Hy048/aQzZuobuUd
Sp7yfYrd8dJOJNlrpLk3GuoIMnt/OrMBdo8ZdM+taFxg2ZPyHurJlivQmPOuGQ050FZZXAANHIdX
boXq0uKAKhczSeQoLj3PXSUsvDdDOJrfHOJUi0WcV/FDA7zvizt73U4MHEKgfbotHw13haTY3dRT
3W1VBXB51dUMZikonTVNcHPMR4YGV9NN/DhbBSshRJ/8m24Yk6YawB60/HI+8NtGWImq+TABgD66
qUX/64bkWqZeiaPYLdJgL2kWNhVLahTZzNVciFwbRTwAi57IQM2UJeywPaSRS8l4cEODoNbm1LZ7
ozXJKSTRa9qE7A/XftijzbLwhjPlUNwHXVHgWCX2EqR5zQf7LMUxNmQXILASNAMwK8Up8Am/8AxA
wvd3ykqHr8AK540Fg/mIzrncjhUZDwtppPU7oR7iQ/llN2F9SMJvXdDnDFj1eBsIk0DH61+3Ss9F
fOEAVtARGUiz6+PpmFN928mJLFqZgdznMzxzd5VEr0eu8uL3SyYz8/2F1xH5jqYuuAZOKvMjy1T3
4hNRsBpcZAILp7UN8ry86VzWUbq0iFq9d0odvqVOXD0PSVFsVdCXWxjp4TqZhcmz+rrEbcxgaeo+
O3hV/86yRO2l78lsEfXACWSYmdfHO5PBqR1uAkXC7aKMWcK2hCyevUwPZ4FFLFhMotI7goQnXGq1
QGBHiCIiQzkUB+QiOmPt7BFE4qTzTPJ1zS9sam/eAT/wHoTuzFfVDfMlceBVLupCIhOtGdL4o3c1
Y9U9l2VjFx70DFhXtP0ABaMxHusEneXCwLuwljboysq3232PYvlLIPjbeF8QvLSeewyRYWwjDwYA
DHqIKGDc5JZGlCjN2siexyAJtmXZeA9B4xlr12mDpVSq3EZA3pawYPEkBQIPVerru9HDNm6LIWB+
3zHECdl/2u3kvEOGz9dlzQfcC53sQAx1skSsyPbbMcuvcJn7vdWZ3SMpuvMzH6TozmNAcqswegGy
L4al53TE27Z1uZWt7b0qelFy5EC9QEAhgILgpTLYWqGh7xTWOSQk5vB1KEPjqfDrcAmDORUraXh/
vk+Z0uG3yeSX1Y49bphRiRsUwMYjAywOGQgRB/hQPSN2nbyVfScvQTWggzR798XuJ+dlaA3nJXXr
6YYnlbchGMlYTVBkVgY+x50fkgLLNLe9r2C6rK0Wl5CRYfD8/a4rAhnIQpPy1srMjVki6g7aLj0C
yxEEwMG0LPsZVBUfxA0OGAAHDdnJZQD0ppiUva4bIjV1azp8if1gOvTWlN+GEjenKGIo179/lmfA
whccJpK6QoJ2lom+8bsyXOPeiBh4qYHdAzrpW7NJi703ae81CMNhi2vQcRcy4WFozg5v/9zM56wD
QS6aLmCQH9jAP5D7cwQKVPpG8tFmk77hUJj2FrCxW7+dZ8gOLqaJqaunZ1NXrgstCO3RzF5744ss
OOXog0hY89NbO4uNTW9bGRnehXtMxxmJOtGrJF7WGlx2x6ObxDyEQE1l2GDOCj9bWQD78OGJGO2p
zod90KIwQRXf4VtS0EiWpV9Wj32F16rnwKEGKv3uyBZKQU+G39/23gD7JJ/PE7z+QxP+nigmYJEA
0DEeO9NE6AMziIrZQV6XM81emlHHVxNIARkXXYKaRA4AP5p6KLcKIfOz2fNxKuqZsjpIxIcZOdPZ
IScHcdVofkyBtHq0TtjgDKdDq9fxxUyEax1mPc6XFofBwRudaS3V1KJWgmUC22GoG2I1vYF0pKHi
pCMwYGZhoPnOG3bOZiPkD49Iu5lIBmE8nHplIKvhr94x0EMFX81NuCPzwtkmpj3vUxkCesOQeH1F
t35MpB70jfhGzIkFnj0pHiydQXKXaQnBPDa29PagGG1sQ/iQJ4mTrWweEEnAhMgS44gF9a6vsYaB
M4GhnxpfZQOUVjhYxHqSbPN0Qpc/MTVHe87J6UZdu5GyHddVHlnbMEwG4gpChfHLbXskc6a/pkKM
D/UMBEvF051VJ9USVk/x2S+Nz92MVQmO7cbSIwseWzRoFHwCLObkcazieck4OtpxWkFmMoalMIEK
RSHtHdEKr6zy2iVIW1YOCUkCKzky5c/sVhF2oYx96eILyv2a11vWRC8veuzfnNjlWdfAHMo4IqmD
gB4vyeFoVfbQA7VN409RT3hQBv+XSKYeyAm4suqhdjyyr1HUoDAprPgYp159V5I08WpEhBLxVCfx
Gzfd5xrX1oMvWkevclmzuxymGQBVkG0dEtZ30PBdvQJ84dw5sp3v0shrH2qUReuh6H04g7otVt7s
eWsUIehEW7hTbEbTzdBkTOPMPDlEqZiIpVHNR9DOxREGh72bs9wN2tVYwaADdUssXHbsyg/Ke/Gm
acfPIuiVuWwtgH1Dk7IOQCU+3oXzVO3VRCQSmH4CoGTPVxEbUA1y3yDzr215F4kxcj+c2CGrdEA8
eOsQPn4pXYDnfTK1b15LfbXQIrZuJhmotyyP/QPck/IlnPwryB6p67N5fUJ6oiBaL5bxTpdlf4wT
6ZzjolMvpbLdHRqi8YCwdjhCwMo+KycNkTwK3tyqV+Hd4NfFl6JDpgnxEINDl1YWX5HaPwiQvKdW
0YF7Bg32YhpKAh2x8/fryVDOk136xToLXcFKjNTOm8qYvmY4z16tyi/XWJ7kMoryeeN2OVEQpBYt
qPFmHoUxfLJFb2iI1lPLSZbm6S6tMWLWpJrx9vK0PUx0FQSS2fNiFHIVdfW86pLi0ciTV10qBlqc
8gtmthJUzERTLOoX7N02dr+c6YXp+E1PanCgtlXgFY9VVlQnNecWov2QUmodFVOIx9fB4NHDyWGt
hJ0RIbXxFbr9lamPWk70nnxWRKQhO+7lli4Gw6yRhE+5bagTD8X8jlIxfdfCrp7SJmte677W/rY2
3IlsirBJsu1QuRBosoyShr1YecF/MJYkpCb6U9Z64FF6VpaHweq/RqMcFz2TXTZysjzaVLafy5pV
CtT5buUZ2c1ckUa6wNmTb1WG13XkrTplpJHELCRqdcMgMLpJKYYWqXO1z+Glac5t5IXLrkULyPf/
C5o7pJM804IF2BjEdKECVVZ1/V1mMmRwojx+1m2HUXqCai1wt1/AtVUfjME+OQRIfAL/8DD3Vuds
fC8eVkbJAjRtZk72mt0kX7X8AUHGqJYx1qp718yBM2LcATvam3hmBxBnfOJ3hqycbQw9/GRlHuAn
8EFAo4uA3jS1og93YmkNeLFCw2BEJKRo/5FWh+dJFBSfrpSjVR0FLyyjxqOJAW3Lv0LyjG7Ug5M4
X3xy08i4UtNHNIeARbNRQu+3p/QcBPO4BfbJHUPntyW7FQaWEXBT7NB/8YfYeUwGUKNpz47Nask/
HUtqqin2go1ruFtlx9YdPcgzB3J2q+vZOzQsvRdqxEdaY13/f+ydx5LkSpZkf2Wk92gxcGDRG+fu
wXlmbiARScCZwUC/vg/iVc9keviES9a6F1UiRZ4jABiM3Kt69LX0gRRksvcoE5rJNcmsE1FDNH7x
erO7HRoiYYhUL+6LqQnZ4RLlnueKjv+Y3wWx5ty6tSBtKQFPAJvS/KWHKD/LhNwe2caAiBAk3xT2
EF1mdgqJuEp8yJSYXbX2awKZMojSZpsz3a67CirapAZxFwStg5IWrHap0nI7dmb2oJhx0dACz/X9
Tmzp7T2GLQEngyucgxmW4xb3+TdQEe4uAdG37NkIHphItR2spe6SrZx76C30501Yp+x/y+JXqwhU
IHK1ejPrBOOMp9qaI0AdpW/lu2pBr9rgwuuDZEW1pGewNcZja2gDKcWk0vrXcSaBbJVFDfDLJO3F
3tQFZeSlF0n/uhhl9ljkfrHI7dHfRnEzJ+7OchKj+TkMqkVww1ZF1iZ5g1P/nXSg/EAqcQ5M1OaQ
VHcjCsY02eexr8/q8x3xhMmB799G8uo85yF7Yyug+8yuMFtR7vjeGHG7KsU404dZXwlX3LWD8+py
BBkSklKkuGMPNYfgUSbSWk//bvlZf2GVtrl2apNCSoqCPAz0Xedrwa/IMe1bW2jGXTP4v+rB0p5D
Pr0noteQxthNCQbYl0OwQsZPYh9Ez63wh3ZtxICTgdgRJV5QAfi8EPqxCmrQdYK4PYu18InQ+vq9
/mo2Pol/MfVXt06yAzznJ4S30y50ON0Cb/l3KvcmzRZMUqjc9GNFWChroYPq4HKNsh9ro95yAhjW
NTL9M+0Wfa4c/1nf5c58nAlsw+m4iOPK8jT9q6jtTG3/vXkv0o9B+wNFMC3yJtOvqCuJreNN4jUK
5hMlyN5/o3pvorVzHcs0yMs+asSkhIhMfSjo2buhdWe3JSW9kDrp5+/wVLuHVzjXsAWNz/dK92+t
MmsIrNZCSfdPO6RLZjKpPw5o+pPqTOflVDvCwiCIyYjSHKikP4dLSiAMvtaezhKc8pXRl98cr/z2
+e2cu8ZRdye2leHwtcqdbqirCXotgq67zy9xcnAw/nReDsPD/TA4/MTrpUF6Y8UCdhW2wjiQs0q1
vOvjL5FGq4VAOpK8JbVWQjfF3gvMc62dj58eCHr8jR7fn8/55agBAQKhNbXSx9oCgQf6r3KWCJfr
y0xLCJmr/GL1+U1/fK5cD6kq+DN7NngedXlq9lbeWJk1eitIcZYz3rmR7p6ZTz6ORZMeuo0VDTmk
iTryzwHih8TxyDSrd0jC5wBnuMNl1QEopaD5+e2cuBI3AW7OQpprYlI7ulITx9M4AjJgaoMAoDUX
5ug+VjJ5/vw6J16T7qK61HlXzFzvUQK/fV3Y+lPTl26JfI9k2OwV8RPov2IZ18Hh8ysZH5uN5h+X
OpouOKg6Qe5wqbbzqd4VFpSk3lVqMZC7ta67YnoCDZFvbYqgclVjYFoJWQdfHfatazUZap3QAtoa
DWdppJVUwXJrSg+2l1QHZQ4EHfTRdBVkbAZhaJuI0igZs7lS68xQiToQ5jpc92VLGWtsnWzJWZsE
J1LtztzoHP5wNDfTyqS4D1ENjArq4D/fHYYUzfQBTu2mJlIvfl6Ia0Ck94AR49d8ahHPZwi7ZBZ8
lUMabqBgcHAaiCtwMPIA3VjqNd5Xo33KYUsvlQMsvMzvq967Iv9zgvmbEj+cIo4CruUuApmYBkx7
+FOyw6qkoS9bDlZp7WhwQQtSnrHkOsmKc7x7iQyafBrYyqRfldHKD/slUsdhZXGHPk/L0Ng8To14
c4O+OLNonRhrBopptBWsWaz7c7f0t7EWgFGiDTvyXBKsWp0OFou3PhDsKAHwDCDJdp8PuY+dXyhg
Lpp2oAIYjY87v3VpdV1f5eQheEgXKbrk6zqU6tIxK7VFVaguI+ovj1ZMUvLnVz7x+dLWFjNPDyDv
B/EFAW6dFrVOgeRrHL90eDa+1RR9H23dSX5+fqkTN0mXl9mIAw//Ou6h0xxh0zm2xS7vJKXRTqeS
TzmYFMOkkHskqzHhrXTZwDJAf/r7aYp9Fd5XMqR4yMbRUAcB3XL2LIodUanxtibcLBxC+r3JKP96
G2DNkxSAgFlnYh/L3TkIQviBoLIzPO9lHIt+ZXjkE8KQMv96mLLdQDCFMAoZhjhWvVczgT4k55vm
IpHRk0P1xUxuIOw5BCw7Pz5/ex8HiiVMbszQwQvQ0z1aUYhLrgorq7ktOzd3WgXlj0YChd2GROrm
zDP8+AFyMbY2bA3gLxrHy1dNgzhy2pw706zHyNRe0Cv/IPr7MeydM3uQ+Vv+c3/KpdDnONway8sx
awDvaAwim26sWWVrk4KJjyZz4WYdELmiO1CrOLcbPX1Fn60olgg+uuPlBZOwV85XrPXukPrVaznq
j+acFACANiOV27j8+1fHxnsOMvNZOo+XaLvh3KECN91pbXsAyL2zrBQjrjhzmY8bGwSnAo0Mhgl2
H8fKKuI4hzjmp3d4oUFHklG8rwZWxM9v5uMswlX02QeEzYfgoKMPeQAKhtsVPao0OdZy3FtmSfvL
LRyUzYqumjeR112emSXnSLoPo2SeOMCBAjv/kAOH91H56F/SnW+PlMIyMrKXRZWSc+rTqpsKOlnN
SBAanlErjZawkStq3/Ap1VCH+4xm0gZLMMQMu7732zQFB1WxOZi3BcC17Qu0Mc6Tb/TOLlSNfeav
P/liZraAySTvW8cvhr5klFHezHaUqEjCHP3koA0UOz5/MacmCHits7YOI86HLWduQTIqwjLbFcrN
iObodiLVHz1Xndu1nHoVvsPelnkIbsLRALDdzCwq1NE7Ax883ewg2g+OGDaf382pGQjaCXpE7ESo
vuZn+tsWYEqEMYCITFEQNLhhXJapwW7Vummyty6x/n4XzZkRmShLxuw6Oz6heip2OlQXKWfH4Mf8
7GTs3OUyePn8rk59PEC1HRdJ7gmf1NAABpgwpeyyGCBtOurU2QP7BxXXciND2/veZ1VCtJPTnFmq
Ts15s9ePffU71eZo9aB+IrBvdukuDI0bVWivUxJuquS5SqYHPsQzVzs14Dn2GAx2TpYf1IIZ9+g6
VZPuKvA429yx3bveSLTV5w9TPzVGGB0u7jYd29nxgd9vDRTy1N1mApx4jiNBpCiKYzJYSQGnQO/2
+FY8fGil6m5qwFDXduaa28hD2DWNFUizEA+uXpP+kRHUvonaNjl3utVPPnkk/vOXadrsf/4cyJJg
BVKxc1abwaJWqOpXXc2xEKbX7GPXe4GAUC1dLOaXWWHGz2nfNfvAL79FtHWhOqhD1ZOYQhWJ8OxR
A3AecR+fP8gTz5HGFltQiMuoLI8XxMzlb8DYUhLkPv2oJl1tRIWiKshoYo+vn1/rxOPQ34WG9qxY
Zdf95+Mw9FEIEhjZ2gf6D0HBYZXb4rUZ8SgTezu7pB11Zodx4qPTdcr27GhYsT5ssTuZjYMMS24v
sb9EcagtDVr3FDPltDCNsX6qZV+vaMl2u7+/VzyXMHjZ2XxM17Nw+8fSA6PEWe26hmiBPDe7Q5YM
wCUNn0fPDv9+3/Zu8rRc4ME+U9nR03VoOTRWXe40EQJL1Ttak4Wp7noMh7vc4SD9+R2eWHO4Hnso
cFEIV9+/0N9m6TyQVoRVpcTZGiLhtmS/EnVZr0xkcf/OpXwQOp7DhtE7XkQr14oV8NRyp/tlcWtn
JAxLVzkXcavrZ6avU2PU5IOafQiz5PlojHboYoqJysCuydvHNiqBpBIV0PD+iCG/81os9H//GE1M
F4ZNYiE7xKPXpg8U3I1mKnYT6VYL4fb3kqQajJjOmQudmJjRFmNBNqk8Y+OY3+dv76uaemQgAUdA
ot1ewmHYelP9eOZeTH7jaEP/xzXm2ea3a5DYkCYWYXU7VL36woKwfGjADN4bLT7uIMNFFoeClIde
VqvGScKnspcuigEaNq1H/FQPKHstC4jLpQWKQDN1fd17Y7aLTSUPYDSiO8OH2lOMXfA1qESxzRsU
GpxuxyVauGAfATPfTWTI39q6RLAH8US/n/wcxUWhN5CZ80ZuRUfGLgeoIbxJSL7aoECDZ5TG8iYa
3GhLRu+4z2x0Wp0J1awDr7nzUv8xLtNmyRPGMUqtSC4i1EI7FEpk2vZTtQ7ayEYxmPaXpWXGyz7G
UPX54z01NlnFXZ1xYtKnOBqbTt1AjHAYm2gFX+tBvcLhu7FMDRMweHetL/+Nz449N5s9yvco44+u
Z0djUYOFLXaqjuaa03VvpPteFWc2rx9LfhjksU9Q+KNG8MGNbw1pBGzXh6kj0ruqiiXCIe97nT7R
ibqiK71sbeNbKIszR6ZjIhdulPm6VGl5ohyuj4/wfpXXedXb1ETKcfoSAdZZeNLS7lC7i2xN45wz
Tm3nhKWnXb3KCpRCWlswkddEYdlIfe2k1/amaLWNriwcqKjDGHDVFuMHbSw/ebP1joP6gB4odadw
RcyNQ+3FBSOrBw84/sgCmGyoOiqx0oWCT7VO+HtWKqswRrr6LYiuaVsNfb3B0cV/n0/2MmpUsnY1
13iuTfvcqzg1pwPO013Ih0wUcwT4799vLBob1y14I6FeR3wZi7EX21QH7/r5SD41F/12neONUVd1
kKv8vtgR4iCWBfWGZR5F688vcmprQ4gEp1WDfhtIiT9vRtRGVdaWLHY0nch4sKE0CuOlTCOEtc14
xnR28mLUKzmzEIL+YdvrSCajIuNb0SJQwiDdt51VbZCBIahU8ZnHd2oicCj7s1pg2fuw+c3G0XQS
pBQgMuWd0bgOfOTxpczkTxVj3oqcM09SPzUuXE5JHGDxUrnHfZqpqTKeL/u0ZMgirB6GfvAmoi0N
avGr0tSinVXVaglo27yPRUASZIiyOSxjaD6hl2780hqfoHryRTVBaE1nnsfJP48JkTIS9Vv/eGLs
h6DR0ohtTl9XP4E8wlXvHjKTZvLnI+rkdf6hTuBe+7A5aIghiipEOTtOohXVHPVajFq/Klt5ZiE9
tW2lOIV7Tcz/5h59h2bvI+NGgLVTCMejBp1bX9zJ0j4Q4XtDqP1jnvlnChWnBvBvlzw+2ieTBeje
FvlO64dt2JY/fStD4eocZHkuJMg8NX45kdIkY/vIWfjoXKR6D8/54OZMM8b4Dcb6rz72gahlRNxR
vg2XWqWRXsGMvI7rWXCs6bM8i5iAxu+aF4uiyktQe82uNZAtY23BbBAp+QCor1x5RZYtyUn3NoPb
e8+ezawJs7BBNaE1w2oCMLybSuOX6AlxdUsPzoH4lhDbhiexWiu2fLHXQf4YzZgUhNF4qFBestgb
9pnRdOop+LNTlxIH4/a4AZuRCwder2LnV037SU36Qgnrxa7sC2qmcBTH/swFT73i2Z6BY9Cl2Hr8
2CsyrseazdAurn3wX1Urqw1kPpK+woDI7mYWpn7+wZy4Rdb12W3sY8T5cLr0ndEDMGZmu9QP4ajL
0SEjlR3amJTNC5z9aYcO6e3za77rNY42oWhvCFY3+EQ52h6NrlAbSff0snzn5JO/jPrWebAinZhA
c7QvojLLnisj9+CdIdl61yl7kcqe83ZSa3Cz/lbroUWeefQfuMJsNlAlQFmYZ23wn8afixGBMFMV
dHzRzRSgZzPJs0SVZm6aAMas7zrmgpGCfMrO1n4oIxJymxT5taWvPn865ok5bPaFI8eAk0qj7egP
EUgjIK/HOb7lxKQ1MoubYzOb7hBYFvYFr8vdqwRJIj4LoBsZRWRdy+mjkg/a3fZmLzbjGIgvkcXG
21CT+MK2GAxEz5DCNgEAkYQOglijnyOKTKbsbm05SbRGMGityFVSu8ip3fUQte7KCy+MMjUfSJkf
bvhscaKMfAgvkdf6h0y4X8Wc1vr5Azh1/3TATEhac4f+uHBEuY2QXGVy/1k6PET4c3eAH+KXWNei
zd9fCvUlWgPc6CwbRxsQmk51DUAo3/klbMKq9mZLz1ClBz8C//P5td7f2/Gon6u/JqdXlsHj43+h
OVkLEJvDATB2b6FoGOP4AFq/JSm0WxVupl/oIFlu1UAGnGFo4Z2hNB90eVaRESDkP7v6/8U3nMU3
wE/47d19YBhflm3cxK8FxbPfEQ7v/9S/EA6e95/z8oipkGLHjB7mI/0fmLH1nwh3yfJj4eQE+F7q
L0oUyP/1HyagBvafguoylS6fJeX/MhwMfpAhwZinxkA3ytf/huFgzgP3t7FG2cdkNns/PekWDdCj
gY0yu2/LWJd7uwhcZtJE0+8FHKQrr4urTVknHrm1lSveGs0NHt3Ix6yVF8FBk3FwaKRBEk/m4jIS
TrFN3+eRDiTLwvNS7dEjcWHlRpUdr0uh/KUeYe3SC639mcAQvxyiMHu2DFCY7+6mMMoDcKkWuaeF
4XarWfu41EMh+63KZ8pEDaq3Ldrh78qmPAFY7ND/eQw8U2q7f07nCVBfkGFVtSd9YriFKcwmZWx9
JkQ13xd/929D5PafZ/t/kC7esiVWzX/9x9Gs9X49qsggBuhPcFw9qhIZiM+HME2rfa9JfC1hhqy3
Z+IOcHh9fqWjJXu+ErooUMFA4GeCwtGdTWAmUaQ4GThqJDRGkhC5O5K07JlB/ECOr7UdoyS4//yi
J26P5gS0Dlzwcw9m/t9/qxvR8Gn6vGiyfetgSqKzKJP5sObaq3aYRQl/fzXaBpxY0DI5H5rAoe/1
cZEnhLaL3k6vCplPuKTBS9+0mf/4+bWOZXbz86RzOe+sWXLmNffPW0O7k0V5KuJ9HQ0ZSN4oAJPJ
usBGlf3PIhqj4aaVrX7ZNyl8tMxV1Tpu0FN//nd8fMJ0oalnQiH0+ffjPnSmN+6Yt2ayr9FiRKuh
GRHUg8t69J2qFGcu9nEMQRni2D1v8Fn2jjeasvYzU0kn2Vf6NN2VniR/RuMLrggoiwjEng1RboHN
5sx1T90k532q7o7DnulY5ZKGSR+HDl20Aq0zKQ28zd5sOSIUMTStv3qgMHT4fVr6gkmVnvjx4m7F
Wq93kR/vY70O0d2PLuHBQo4X4dibT59f62i+fb8W5WEeJbmyFr3XP8dQkitHkxpjCD9yr6/KwIV0
GJvduc3hcSVuviebsrfvMMkwXI0/r4PerZFOOcT7QNhdsiLMlpuyxgICVGfaD1Ec5wjxpMLSNBHe
EqwFYTJXn9/r0diZ7xWeEROdTnPPEcdjpxv1NK5txd/QzfJ2vavRrU1aeBWYY34osQ1TOTbHM/P5
+yP8bUmbL4sIjBtHi8oaelws6kKnK6fAJVEZmeuLTJz8QAFrvK6SItpKwiMxOGhYBN/Lxu4SyNDY
7XunGH6AwK8l1iwfBGVQBLtQAKMMYmCUARK2M/2sU3+nzYtBd8zuADXE0eEmtc2gn1xNA2roOm/j
2Fpy2cG35BXB7HJ2BT5qgPSJ5rprreyJ5epwfJKiEwT7Ni2tC1/5ASo3z7yG6di4G6eLygSXke92
28/f5MdROx/5QKqAHfWQCxz9qcIvCOXEibQnWAOnaUrMRrosmuYcYvXoq+fVoWfjlVGPmcslx2tj
rBk8FK2JCY8osbHGE1bnggSyi6yx7IfP7+l4On+/GIGBiDkQo9D3Orqp0aOfYdEy3dckeq1CL+hW
QKRxI/KpwPQmiZZ67Xiht4MLjKQItxha1ZkHi6Jt/hL/HK4efRxkbghIQdge440yWWkGX0awc9te
jns3M5hMlT+Y1T5sq+lOMx3xZkcYp+O4xYk6VhFllThOpbdwcmFfNGEXHPy2HW8xQmE2bfCryGWd
qTZeGmk+XWXRbDyNa+N+yszgVwcq4plOzHRFRgQmML+WWBEJajlwlrYvOimYcKF0G/c2mbMPhOSI
nQJBfBkV1tiuRBXPsiTMq2MYcOzMighUnqTMnAWjeJs0tnENwrZpQeRh8Cv3NLs6FBTop0VBigQi
Wd1q4GBGnMxNd+7saPhWxaKowQZGfqB/Z3NlPvWmiQl2CLpcWzZ4An5lnbL6Va4GM1o3XhJdhSZf
tmUzteiyi9/gYoTYq0P7V4gszCB7km3jsgiEF9LB8cN2IyLH2vaWYDNUuEPzgwgzY10ktfvVq0nt
I1gqYbzx9YfQKgE21ouqktqdR1k2BXHVul8n/KqrgQrIFWQPEtxtLBDhiJ57Xcd9QzzA7CXniDhe
sc5kz3U9wjuYHy9GYwWiNBJ3SNaj9EDuZBbtAz10zIMh8ugqxQqGKHqKkmrtvs9WrT5eSDXN6kp9
0L4VZcqILMWgQ9pEmoHSFKLnAhxn3BCqLKJHa4itlxbSA53xUBS3ZgpZgtoIv9NHcXTlqCpcNbWL
c1tQsEdILMeQhHL4Mwsw0fYDcGPzySP2Ef0VpdFDbhrxWwaZYaPL0npN7JpgTj4aoIJQdaY7u9cG
MOSpHG7pww2QHa0uAk2hx99ANzI1TXr2jFKAQEVzHod5XwYHryUrAAsaWp3VNOhsYMhimzZFlzGW
3FxNV2E/UsIKOHqNi3cEQm5rgnD7nH0O+Xeg7BNuAH8tnnHMgAywNUnF1WuEN2VXDh6j106t4VYG
JKHs2ogTg2OTwuyQ08B7nP3ZoZZhlvIo0ExauiJXbrgptazeKHqdu7CfyjUAFHs5aqW8C1UU74Un
iwsS0awlQR3xCpeWuNJNsAZtLRz8MHbwGCp3XVpt+lo7RXo1crVlENjuTT652xRgxbIugoHAwsT8
6nl8dhXSd1GSEgnU3lwJbZgggRjGUncKfMsD7F8aHlm65Kkaz37c3cQEDB4S3d9gRjQ3FLbKA8oM
wgo0HJ4p6FvIt9wWoE25jNI0A3WLjwxzY4B73foq3ca8CvP4RpLCueg6c1h1o2ctWXDI167jJwfq
7RrrvnFB6Wop2tReVqrot6mfC9IP9TlZRDgrv6LoH/vRfRONb35lvFYtOJREy83V6JA1YUydsdeE
9wUnYYCVAUHochxoQBEUaXzLTeswIVhddEZ8HTkY51LLeey64KIs3PCLqoxpHWHLPERZzgRszXuk
3Bivndg0r9TU1Hd6nDUHrbNT+KPOJc7R0asWVp64jZ/Ok0jY/IRZVO3AbyTtoiAWnLzF0EwOemnN
aF8tdC9bm5jtRZlZpgDeZExPNnGom6HP0BCpzvAvlK7XN2yUrGjV06wlCFBkT7IawydSjvuHsbTZ
P5RN5YWLqpvGK5qC5np2O2wsoo1/JHks90PmDPsIyQYXZReNd1Xce3bf37v9OK7NqW3X8/pDBgae
Elox8B1InHOnpcuXlu0tDQ3YwkgBCcmRvchM2CrSwgElJdyYqYhU2dDC5L5wQ9/dVQlHn5bxhxxy
LDakelvbtqdztQRwlN+AHXh2s6le6X3cXVsIgZNlmGH4XykntZINwBnSNxB7bYoktW9FO+Byddvw
RSVhf2G2w0rBHD4kfSvUwvB6/5uZDE2wsAujiZcd8+S+8GV0IPohxhzaU9Gf8M9WCxydiiNCpt1l
o3TX+Si/EPNrk7lKREtrFd4vRduYBBuSkMGa2+4LXAR/2go71khz70myKVv2Y8VQ76pp8q8HrXbu
ZNaMSxz98LpV7e44Qfs7f9BBYVV6K39WtNrWVZ+Mh1qZ5ERa4soPZJ/hJNMvLTKI2cIU7hbwl3+X
BTUO8gBAMId/YicpU0j9UYs1qg8q8w+8VP8B0eK0YhEGKVFonfV9mERz5ypiYIe6aFZeWRsrz2EI
ELJSLTBj29ve1bKNQ/oCsofYekrHprxFlQoDKdCTfZDUxhVPMF6ZOHLrLtC3nW0zsP3iyqF8sAxy
37gN6wx2bO2al34YEvcEHuEhsGt9lXt9uc3EVG2yqfFeW8UtMdHUy67pSaREmTXHTAY27J6uMLIF
vjAqwDTsngsxmNet8MobMQVs+32zdBZVg3lgPabIbhdx0pEOnhbuVzt1KOKUdXgxaLZXrmBYZfsR
oM1PxXH8Upl9e6csbfDA5dLMWWop+aQLy+8lBpbOvubEXm3T3HU5AOjlIdOB+qhOwepI8uy2cmx1
4xE0vzPrJvKXse/t8mGS+94riAvVA++irIfgKmkLb2uFXf6WFrXrrPGS1S9AEuuN4yTpL9/O42BZ
uVW5p6VPLSnJ5LPbgEfjp9cST0gG+WwysmUTTN2rqKwEYojWYB+qKEmzuAoA6FFhzyCe9oLua0yu
drLmjcfrNDe+95pfreK2gl6Abrchvzkcr1y/Ld9ctGZgPFBEEhg73BJOOW1HmwgfkuTVLeXy5i0B
knJIasrhGZOATEO17DDzp/YT3CDYJN/n6EYLg38xRL8ibayXKm6yiA9bFRyTlPardiJIFHZlXMe9
3T5B8+reLBl75ID6skAX5mvZahCEA7DsjVBe8iUVEZrXjjUe8AT74Tp3updREbUCyq4mzYnm3CKp
seDEfaov2UWF16MxuogVaqoaRh2QmJUNhK5aClZ5kYgrq48zMo161ozSGMd8SdgxqiYmJ9AHelIP
Oz2YU6tkXrUrhQyW6WycwgcwVHCsBtsghIu4VLHUqQ4xLjNQ0WEzaY9x5gsgHSXvjUVha4pZKTnF
8DE4G3HCiIBsazlPQXrxN1AHDGUqSuIqciujWLiGHHYIBoNnKHjmq2ZU2i/DaftLQPTho11MyVIv
+dnBGvwnvQA6YrS2JPrZitlOQnmqm/iJjTG6kMARqPnqe8d8DkM87uPE9EorjUGVPwu7EICbtHu3
A9uUwOtaYhLYWJPmEBAM555cpHwxsDlZuW4ULfSCmG6PMzaJLESK+kP8lmZGVCzRejjYE1TJUhmi
vNaMTev0P9Vk+lh3fWtZS8PfpLSdlmnuHIwmt5c6Fh9c4i3cANiCyPm1lRswnAXoxovRzsFW6wSi
8cNRCdcBJWRKRO+YbS0VDw+1Y0RYy8gYIOT2l1YBvqinvFg4XWccYgq764Zq1iGWKLN8QXkAyCHh
YJVst1U0M7UU6Qqc8Vl12AjB6imtdePHNah9RfyWGpLLVB+2qRPO0IFoWKLFclYET9/0jgDfaA3O
zpZAYkTeeRxNqlXWgprDaxvcDnojFipLIJGo5qeSGiCzWW6hO3G5yGv/mxy1fCOR+F6oitrBhHM1
6Zs7jKavsWOBo4xG9im46fPmkGv11z6fbto0OJCM81TJ4Iopl4IReT6wJadfSR0+Axq+d41iW7Gb
XhZJ9uqLeOayU6R0lf+m26IBIBi2K1/T7acyi+ValMbb4OtsrEARr7zI2GcO7BgcaHAVqoshcgFd
hM73vMOsYBBJHC5sjRNB2Lfty2RO34kL2TsJIQS1m8X9cvTH8EXgbkL5KD3wR7LqiJ0bCekisl6f
1l0NFIRo3F2roku7foIY1j7WXu2voyZ+cIGI7oB6pktZd+0XzZDeeug7tes4w1y2rdR2ckjmz3wU
B9uM3S9g0optnNeOt2qiXu5jNKw3LfnBHCdcPxq2JVlWaxFLQEMTMXaXqrM1uYny4d5G4/VDOO6o
HbSK6GQd4EsDptHojN68UF4+q/prAKG3mSHn3zPqNHklA9DpKVzogSIWVDGi3T6twJtRqwFzIpJM
3xBEQPJcyn5o55qAGK4VyVzxiiCBpAZhQdHUaXqOnO+wsdYgGSBMocgBFmN0o9mYAXoeBxGMXRlZ
pl7JsShk2IM4YHqhzjT3NMjIC76+20IDreaMMVtEkngarmvWuGevDsYrzSI9w4hBOKmxdsR1otlx
t8alMt3Bh2BaAktiguCfTyd6PHQ/k8nobxKHzAihQ6bTQ5keIjhsX8Nco8gdWi48x8aGRI/skGzd
qRNvJeEb9pWKuvnI6yv4TZFdNS+Ystk6ZBq+ffhwcs/enp/WnEJbRyUHdGLOQyh+OoA10Tvqm5Pl
xiqWbP8WVlTd2nJapgTY7d/pdjOac2+kOP7ixoRFFdkUBRoO+V7rUiOYOzXv1+sqS1uPpSP3AQH2
W84J3Rald/7l/f/ie7lxT36H81C69M/x8Uw7w0zh+eWKM9gg4XXR/oJAMbHt+Qcr6E2F8+CnPEz6
yrCgI1Vv3gvFVTbQRhnQZbQpdeOMjF+xiGMwQprPn5hHPYi9CaSck9vNSxkrbiBOeLXMI9NdQ+Hl
FoW3/iVvAU6y96WxGaB83Uu7GG7Tgf3upEUCqFGLgagaR1RLgvsi8SJ4rGyOfXUXVeXSHpN6y1aN
s33bZi6J1umcngHllsdk8W1ULSm2gZD+CgOpjVs9EHnO+BeTdumXYYXLQou3AtpG5HnThS8lIH0d
Gg8lmZrwMVBWEyDGtO+JD6iVuLb13r4oE5BggKsoXgX4k97HnRbDS8T3AixvQqiQSZr1kWrImesG
bf77ImI2NTCMFEU4Zt1l7fxMMth+rs5/5F0N16Xb8dgoUi4tvZqu3kmK5VyKa9piunLHgFTFWQlS
lvG0IbtlulKW4Lf9bv7BGf8XGjT4/Ygkliorqee7FcqZwhVfcsE/khL3u3eL+X8tFU9LBzA5LnUT
umbHD61HAKv2CpQmwgHdtpJVqlJ8qA3jPoLte6m71FlX74UnnTTPX5NuUVRKGE3mxI8mg1a+Ukok
uIDlvHtSoL0v39GEXRSUr0EkhtsRpFm1IFGFl2m29CZ7FRyCSi9fU0gbe/IKIMKNxGUIPNAZeFYO
B9xhgZSkJfiSeJGlN9uZ/SI2Ljm3yBdF2Ei8yEWWHtqSx9Q1pXEPBSZhp8UfbjSA7fIpr15rL+bS
Q9t0h0yNwR5VEwOy9bTmlTj6ZSioyKmaf86Xc/6T9N5au+mWkR5z9FDV9wIRAWmeAUmknQS3jB9h
q1TAxz7wBQbt6P+DLFSyU+uwhE1pUgIHjYsKWvaQgnCLTDqwY0O/KUySeki24C9XnHzsVcF0uMWG
SfGDtqi3sudR0FeU5uzKpqSAPqlbwibmTNhjjzs47iTeQgGOk1akVi7pxfJNl9ImhIjT6aYVzI++
xZMKnVB7nDgQ/HKDihv21TwGpRgZeXYVHOIQdCn7AGAqmtt6K9dzOfZ5QJN+eg7n5CUHjOHLOwhq
6Dy6UA0bckkpFSFsxLaClbFK6ku96YrrqFftI2xq70fVWcGvuBz8A8DObMTUzspkxYhkR9uFo+ST
trknzQliJ/x+RJ+SGEwiiChwrzIAceP6vST8v0KHM0IHunsODaT/f07F9c83CbL1D53Dv/6h/wls
JlWORrqF9X7uPFnz7/1L50BHbY6dmO14DE1qYf8vqgKZgwDxgiadViacDbph/xNFJ/5G1oBW4s+q
+iyMExgBaenDSmfcH+kaWK41UEeQEU2UY110xRYPpRmIMKtORmKK3Ngaq3wfEx/8M2o1KDYpNNVH
25POvplU8JDlXkDFmj//SuqJc2PIxrn8b/bOazluI23Dt/LfAFxoZJwCk4dDUiRFUjpB0ZSFnBqp
gav/H1D2rkTvSrXndrksW9ZwEtD99RsV/WEWI6vWhAbHNM4TptR2FQeWZ1puymvpETy0AUAadtxB
6bWhPDPMbUlMIzCRsW1QgLIf2eY18eV2SE5Qu9NHr7zNcwDbHrXanV85Rhakc5w/SjKaTpYmPQIk
pVPRCDlFjzgANSNovdq/K7DA3ZH78kg47XLsgIn3DAvxrdPay50uCnmnYjPamT4vf4l6tdUmsycj
yl9CqnbyNSFPbckvo5GSytLiYUipqXTXwsr0rbuSOmJOtW3T3RIJlDzRMTswb6+Fl2ZM9aWfuOLe
favDVA4JXbpFeJ+mV+pKxhRnem33EayUBHxB5QJpvGvFpr6WbVY9tZs6/Zs5MYZk966lnPpaz9mm
gE9rCmP3mY2SILiW7/BjsZZ6etOY7LS16FOSIW1AtlP/WYwclLIq9zwCtqkHJQmYPgMaQ6c8y3ak
tIARrnWineP7B50KNDQn9DpUa+1o8tZA2q9lpHNPLWmuGKnBwowbTzJ7z2t9qdvq05XVUWmKxsd8
ydaa08wX/T1CWEKWy7UGlbWtXxPSDe9YrjWpi6AwtRW00FdRUX3Qet2872er/4Rnr/g6Axw/GCO1
qwQFVzQM2do1M/outvX+mc8KcJvqVf+2XctbTUlhrFgLXaueatdpLXmd1rpXqpTVl3bquhvRN/VV
pqiF9d8aYjMuHNbNtTjWfOuQbaWgT1Z765ZF8J2j4KNwturW7llnraGd10LaUq/HnUfnc8Ah9GU0
Ru9cDWO6JzepubYkJWnDWm+rGRTdJmvlrXprv6VkJLtq1kpcaj+8g77W5GZrYa5O3g/XFCW6uZ01
gIBrta731rIbxR0nyvatfddz7eFcpY7L+kX4J5QW9GZJohptT/ZzKkr9ibOMunLWYt/EouI3ddno
AgrSxg9Si5dPbUGpVaAVjTojM4offCu3b7zWCqTXxPtxdKtbnBD9nbGWZOU2fTXBMKIb5pqs3MCu
27Xmu1f2xgF5RdE+VRr11p4THc0si464d5g+5qwrAq9lAguogFT0JcuofGQZaW7nqlgOVdzq25EU
223KAftCDhGo+TA2GELb1NvKZG5vyriMb2RiGRundczPBcAHfLwm1VMXJS5t2N4w3ztObgJ6VwVe
+EwkB5sAndOwjNUqeHanKBw1csJ3VTPrN1mEoyqkXS0vr7Xcix9Bo9omcJ06akKrbSNWkpSYyaWs
vxRIHzxaZ0t1MReX5Mo0t0kEzAgteYxHShK3GT7EKOSEqzZmKjI8qxlQ+o5a2IXwaa9RH4xCF08S
RJ8Gs4bDXrsrHETm6kLCgKdSvri1kMHYceih5XBt/nO8eKv0odPvow58yfkYu2XT3xE6OIyrmou7
/QRu0WlLSENgqZqNNRr5dC8zFXuvFuc9EJPELVD2fCzHbEJq6jW2lu/IX+izL7PbNCLfk3IkJRsX
m9s/c8Cv5gC0Yj+dAy51hRHixzHg22P+HAPe9nqUZihl2fAFnPa/xwDhoHdcJYsAP5woDbbsP+WO
ls8cQM6LbmCFYXZYnZN/zQHWb6YDIo+QTScEBqnz/zIXkD/6bi5gOEFsyd8mSBl263dzQbPUuRFF
c3LD1UN9XAG4SChUYtih3Tr5fHARMRMencdJlgap2VxiAz61SOPkSxeR8AvZUhpN6KGRhNxZWqC0
GtfO6wJwty2rdK2ZKJv5qm5ZzJ5S/KdXdbfoXzIzVn4gSF0l2pHUm3lTanBwezIy64+EYrnGke6C
cTwpM5XTRTZOtSUoA5ZpNpiM89nJL40AIRRDhCJz1q70YW4oLoWCCkVWLQSGzvLzOBjk+hsJ9NGo
CO2fcZn8QZzgQO/MKlT3vYiFkLMRjbyWk6QXnCIT8fCDe9Awqx7HusyaQKaV+jC22p4KeQPE13+a
KoXjXqO4ICzjVTszz0v2pOyuCc2BZM5hVleJL1KabxYhhdiALEf9ZqgLOI6ACHqbeNvKgBnC2gTE
pkUQiujkLT5lfRnELR3d9gkEvrvt4G2c8yRc+5VPZD4DaVC8+rA4WCt6aVFbcnZlrPItpgNI1MlR
zZ7VPim2BnLoS01abGoVaMJn7OTVzlnI8xbhZCVJTw99qhJYhbDLm3FwzwuZoZJxSHTMKFRyJ/mQ
MdUh2+e0Rqx6LnyKR+kFSR3UUoIclfxIypjrNhv2HesTI4246zp6KAp8GOoLAaPNWlYouq8I68HI
rg3KUUvGJEifndOnbt0FjRu5z81UDBaELemjE2rQk1MNDR+UZNEL54IinNTyK5OEtvyDEJS46imH
OuJQpxtM9mOgp2nGZalykOQmx2VjCHxcWV5v41gHF0EesgecvxFpo+56Z7DSTaQVoEdwdBV52318
8rzetdCM82mHBgHhB72i+RFx/2wf8evIHSxc91IbTfFqUKRkAtN3jh1INApB7wG+BTHmApN8Fl+c
OrOfAsuMixPUZyZgDYbPSWaNfbjUln27WuhtwsKbGPenpZ/jzCp3pUKLOppEdbs83aUgpQv4U6gP
Vd0LXAg5dXKWiFygYG8aAiqqOHCLuJ3WYKtx4+VOdRyZh67TPsqMQPWFdeV42XKqokUPiB6ZN/mQ
vPAas52nl2I3FPG1k3RQpIPlXOmu22EVzaPPiUz8XU0Hy77JAG5zsuBPg3Cbj1m3XNOfY39Yr+yb
CLh6w3GDKPBWXJbMnWmrbPrQM8l2XZPzmXHNRv9aI3m4qe08fo6bdDnL1sJHPObFoSscuEEahPdZ
Nub7KIU/jRivvxgTrunGkf59bGk4nJC1XXm5+7gYOiBA1oauFkF1L6N91aStdsiybnqy25oJOSPG
+UqlpvGJIFmiQId5qWOSdXTzDtEzTaRVZ37VXC8hVp1PY5cv1AkMffGKpNYPEXF31HIOc+sH+ehY
9405UTmE/Lp+td44lMwiWbfOpf17X5L4VVHXzM9otGPhFUaI/EAL2mFEYqw79SlXbUkWWJZtozFT
O7OKvYNiiAmmBjyJAURlu96OoSLdoU/Pwk+Ghz7BLF7w+Tx0qv3AZV3fUal05U+JFtp55IM3JA2l
ImbrnjyppX6Am837Qlp5cusXXko1YF19cVPdJ2t+JgS6KTmJgnBaejDrApQzuwMQ8Y6zOapNztV9
L7S1sVtMs3HwBzMKp3756OkURczKjt3AZWq7zoqRlX3Qzc8k1q/l0YOGiJIMUrg2x/5kw4BvTPC3
O9CLNLRcOT3lCcY028zqi1E0ZHmNrnrVVDVuR8Psv8Y59ufcpmG4Ro8FJWWYz0a1lDeLSP2bkfR4
hkm73oki7m8NKZszNnD93hVyycOuJddqV6Nu2hKsq794DcECFol+d2CJdR/OU2KGSTZoAanr8Vfq
hfRDNULhmka/UNTKpUVGHPx30s+jE3hxMm0qUOkjuaFa4HqjczHaJYap08ydFQvjY9z6DenGdnKq
fdnctqQ3b/qWCZ+qx2T+A99Af49Nv81CpGsJFbIz/WaJWPOxVeswXiMCWSSixhCF/x9lmZpboWqa
em2jvpCVkoWa2cqrpaqnDwXoO1Ssf2lHIj0Cd6bQ6EgVdX5JdIFiwWizz0U3Gg/M4c3Fbbz5XofP
JvfWSfw7y1eQH16vjrWKUiuoI2tNoE/1G0bR/Kn06/Yp9mhtroYiemzyKD0PTPG0WHnLRwL4ZwCq
OttT5jLTadS3AVaGLtlYvNs6VBy8+iNDPqBg7A4fEfXrjM+cCTdaalch0ANaIT3RObG5sbl1KdU9
VUTv9pwOEQ/a2Vwi4ZHC2JIRbvI59tOzpVw7sMfEoXmtRPlBl/ByEqlwXkkD07WwjqoUqUBC63Gm
+0/zYnM+thY2eq/SqXnq4i7dOWTTXblp09CIO0I3arYE3ohxEVg0HKiroSX4u+NEWn1zFfwzHP9q
OOY8hcL5ZyDZ9H+nP2T3x/y9Hcj49rA/52PX/I2AEBQjlsUE+g0M+6vR1f7N5newgSMGNYXxHUwm
mIEJi/AMm7Ea9R9D65/jsen9hr+fUZv/o1trPM7/Mh4TWfnjeMx4Tjns2rdKIgBCvfeaWKOlssaE
Iz/4o4aOpJImCEGMPvacRKN9Zp9ux/vYhjmp9TQZjiMemA9Jo43lPqdvAlJSjsDHb7QdJVMmoi+o
VaNRQOdxZKUf0InoezcnrjX2WTwWpU3XcS4ScyNmaBtlVPYzHc4viEUIli/KBwI+7HuC3iGEpP9Q
r0VOBZFx3OdOEXUBozS6GNquLgNlacQ+MPDedQ51K33T689+DnYXgP0bd1UF3dStsHu9lik5DQ+c
HJYeLLbqulQwIUIT4i5aMBOXneZ/7ci414OmNoHWxxJlSjxmTGHIlZoXFPv9dpmg2xYLDvTtg8qX
1tusLli+/zTUtI5H4ywAQcjl4u09wkDqMKPyaCFaJYT25IGdPXX0z3Gkz1Dz+qX/NGZLG4dV4enP
b3LIN6qHFKblUOpqzfXuGNM1MtQW4a1+CPold12KTWmiZGYAzfClvea1sBVO1MYQLOANVEs3sfZp
GFB5en1WloEzmOKKVCNf3082Ms05L7B/jfEgniWKSsRDSuenFSWeFq8ptK8LttBQmcQE54lKvmg0
X183HP33b6+vW18VVzYGn4x/Ho2i58uomKlCQjsqqpYkRVtolGmp8ppll9Z8yG8tX9WysqJuD1MT
e3RUJMHQ5ySvOGwrySEqIFkPgDPS3CW2m6eQSGuRSxYtGkqsmkopqz6O0uqNgMB+eq9hKp4b5IfO
TjQzVDWXClrZvuRaoGfllA0UXvHsacgkgzENT5x9z+xXPEoCi++TRs7PbZN0V15l+g8ZjNUuMQ3p
bMArzFNFu9E5aq3kiXAQk2YzbMhaw5ftIUVySP+ATB5r3mS2ANOhOsJOiwfACtj4GZAdv3cCNr/l
E+qSee+t3VZFYZhfJ4c+FlpcyrIOhLmoZBMbVF/s/EzvE9qjan4WOf7NzqkdYzKY2ke+4WCUsLTb
Ps67O+Ri8K/LlKOKy1HW9np0KZ0yVeEYT96esDKxk0ViPiK/IMvNg4ULcrZPtEM4iD2SQfTuvq+t
Z5vCkCvCvJ5gIecsnJEVMGUOi4YwIS8uZUzZY9jh2tmlHvJbIqyacKAa4MTWYxlBSvjPzbIU9W3n
LOWHDvU6kY1zCZNridMQVxyC6RvblriaD4vroIr2reVErmJOtRAnpnAqbPMjZy2dzrsZzWMkEQNM
ihOA1XHSqQx0PCFgGErFflRbo+7p7NGjbAmHqdP2bWN2lwHM+wbsPT+D59m3zJzGdkxGKhN1t9OH
IC6LKKOozoew9Vt6ESalu8/joqWXSIj4dZZZhuOzPsqZr35p/HxDrx6ihkzUZI7MmelUoc5jXpbW
56bXMqmqQ1yX7X3r6022nUaRbIdkNFPkvQRdK3vWwfTahCCihvgjvakfNcee90br6sbWRGncBzJu
4FereRGr4am3NkiGuq05VLbgVrYnEQzFpG9Gx0HRjRX4AzR59+Tz/s2jFSFEOzZlvbarLLE8DWgZ
Q212ADjzCT1aUFJTz/tvhyFcErcWoVthE5Dokh4cl0NjqAomcUOW2Xnss3wOR5kmiDUMJ+Wg3iAy
90e1T/S4QuNTvtSL3m5lOhvHOmrd63oetAfEBCtZSovszp8Uugm3okAjXAgYuUXqkp/eaOU3b4fh
AJhi/4GAfFtZ2ryPviIRy09Q0pgVOQjq3+6ixmHRepOSS+o+qY7RWVZHo6ayzp3ZYWSN9VTFLM8A
p4bF7YBzQdhQzTVni9VMuio4CgokL5M+McclKPqqa7bt+bqTVAzClJMX8MaeSwww38I4/hmXfjUu
uYB1PxuX7pL6yx//d+yKl+rLDwPTtwf+NTCJ34RBdDF3FykQHjapfwGKrlid0BZtAxR1QxX8G040
cE8L/JkOtIylO+so9RecyI+DGVyByXXCetd237377+9tvKS7v5uViB7AEgXFiJfPx7rzzmLXIhOT
pe+T0kfBHmlRSY0KxujTbez5BLsb9vNUjuMFsjBlAW2eCWvTjvrkXhv1gK6/XJJ803RWyUxUVrck
VT3akR6nQVO02a624PeXQaM2UrjolmfN3WUzg4jXuddIsXKEeuI2U5N8oZnv4kzFxdSmfUQF7qaX
ts9iWNoU2A1I/WX6FaY/vS75HMPWbapgqGrOOZq30GFlQHjoy7n29VtHIE/25fRSK3TXTC3b2cIy
Ifv0K6VXKMuJEFtzVq5dU+0nuJiwiauvfl5dGHPuIvqwGDyGnWXkF3CIWyubz3rMn5KZFqgkfZkb
lI91u7zaPff5KF7JF31u6Qasi4h8/jIxyYKxDqQtOsGkQ0vUaHbZ5r1r0ZvP+Vi8uPoiiGKa7nSZ
X9ZPoC9RI1h58TVrKoxCQFI7s5hrVNVIfIbYTYJxGh9ic7rzKuWE5JBSU1T4r+wf/l7Q3YSa95wP
Rn1cCK0Itanjg0HphCzsZCSDEapc4RyZ76bGek7M/BSr4kW2Geuffe0mpnQCKiq3Fm9oQlVKS9Ot
VfBdzWa/4wiNls1aZ5SBLqI+oZ3ViBmHaz4oI5GgP7akwM/QyWTL/T4ctLFG6pjO21hbP8ukfBkE
2TH6TClyPyHDWZ8L9eq8Rc92O3X6bW9ANSXLWXgx/Nyonxu31kJCcL+aBX/MFuklz9XZ4Ms5wBlT
pkUHHkjc/AgjTAN87xSAgqa2yTueaEwxBCRsyFfSzk5kqT1Kq42CxFYPOM02ihh2Ir5QP5L+/lKN
k0/VgoLYW86jEadhlsj0Om/d51Tpv3uteeNPqQgJw9/NRn9Y7EEeWjU+LK19IE+w50I1D3HJd8S8
VoR5P1LtOSxnh/Li7QQVB6kpzJPvciUoqjyD1ihNtOr6YxWLV9+c2NQUGuge2FG440MrhwdLFV9L
Co5C8Cjw51I9mBHOlTztkcobNTCIoyWhECkD4Pq5i8q5xp75XLdVtoOIYKa13F2/Po73ScaHy6VI
8WiKU+2w1l8FmmDwNWgQg3L28WokM1ko0fjBdLjsChVH4dxaeIf8fjy07jySTG2Px650vKMaNe0m
T+YCo1dT3lS45DClFSNSuLYLDa0wX3vRfZ5HSZ2xh9+Lq6ZOW8JW8qTJNj4j6MbNl+klQsSjBfBw
hbPPiLh8zKvosVSaM2w4jvgonRhwVRJdW1X+WZoMpDlVzipx6IQx001D1+R2LRcXG4nbE7kByaon
r0bW5LjtdaEltxVmmS04xmOtwf52g23DcNovtKbL16pCZoU7lSQYpw08l6NLs/jOrkzLYWPMKHtF
D94fky8NDGu81qLGUEhCX5CMeugoQ+xMt+Z7m7kFyOqh/C8S+kaRJ3CD6X3YKzTowZy7z67mXA9G
O2EgkF+1SZ4tJ/9FDvZquP7efumtVBWlRtYaQUyizztDdpo5Fo60vD5Yo4Y8ZCD7LPLUdWq3tG8I
J/hui/t1+ANBhRh+2dDWlhCO1++NtGithsqZXWZFbvVNJVBTUs0L4suC/vNnWsMI3r2vleNyeTIy
ZEAI+P/f5TBMrqvMjCHxYPT5i78KHtflOAP1DE1S1usj/6bvfv6ccIV/f06AAwBqEAR+/fE5Y7Py
Ew+K+DD3drJFF/eAHa8A6bMOk4anbH2/tKWcZcfq9vOnNiEW//7c5JkD25Ny+bfMXEgQmqNnb017
leYm44yPjJDTJMvFOauz/ED72OvUqXGXT9Bs2dhx30KxIN2YXxMw6rhazvRAsOvSMun7eEezAS7N
m84TU2pAUEsT5njp2jq7VI7clfZ4p8oYc0BCFaeyrgekvKGqCTmz7br5FENnhpbH8vDzd8rw8rc3
CtJDyKyzuonfu+qNIvXL2rCqQ2J0O6vWb6mmvAWd+GUP13/6RN8SuQGEEHq8j7P1J+Ep5i6uVb+w
jrhpbmeRWluaxCF9HD/bdF5+6WNRfkAZfuv2evmBRBfA8CX+2o6sy+uowkEi58SnzrEG2+FPwwPi
7mtTjvvEY7m3m7QEGQIKRR+pnmPbmPdlbDRblc7gtLrs7qpcUeLItj8YqXXqU6/cIoauz1aVfo1S
20EYXPAtKq/eKy37GtXLo4fZd+k7Nu/GPCSzfUiSKkUeTiOgiVIkx5mFJ2K5defWDAyDn+172mdp
c+hxBTPWz7+w/7DCmOT8EFKFpd3A4f7jXYHFn+xKzSQcbqK/mXFCsbJh6AGXmszDz5+LCftvF4et
s08RUkJryvs4H2nMqVvg/zvY+XhndemJ8qBfLJhvMSfvVhaSOYCi138SBre+hu9WljThrFboenWo
/bEBeqJMmNPn67rSp4tJ1SK619ywDr5mXE+Rn2w5BZ40FT11WfY7alEsouUoA6/IzAOyDjZZn9Wp
mcsLR++vizMBo9NHeShMZ0E5RBLroC/dVZE629FrPno9v+10Xny05nQOC5u5hZQjTFzUhu4Maawa
+9bYD6rBa2CkX+2KS5D20gvmnVNux/OK1jCgionpV2ADqRJQG72/qysj2Vrm8os4Rus/3LF8F99C
m0gXeR++uyrEkFDjyRIFB4UxKdGNI4ELDC3nPSOHJZCNGJVi9q5L2wEH6iT8pSipQedajvJqiydg
2E3RMgW9I2pc0Poz/g1z4+kux/vRuY4GkkOHyL5OfCPb2JKVqOGcvaHz8BEe+nXBaZO66b0ymQ79
ljcsNVw7if44M4gFTZQ0e7OY9n4z3cW2MwSZ5Pq0qLgMOmckI0CD+Srxbe0Ne3n0Gzn+IivkP9wk
7BnrX2Tsc3ozfryophhzTD8RV4v7b8OIowJ34uVYgDVRE//iGyG55+/3iccuzLIGsU+0zbt7srXM
2YQeJXYViG4rnI4Mnyg7RexUvuD7WcjbCJaZAxJiuD7IMibAuLg4OQPgUEdOUFd+gxd8bLc+OFeA
Jxln6Oz93uXiShu9m8IvuzDxmfZVVZsbs+ley2y5U8V8LnHDwBQv59jMX7DNMaUC6WWLfmkH/Pqq
NkLG1S0gjLfr+UrfjpeLpcxNavMHcRGeHK3nEc007ppo6INi6Wnv8NTt2yEoqlS9mYDMT9UwPaRE
dMKVU1+3tBz17GV6kD2c7mzBpJrjg5GLW8Tzp7e4BeEOm7TK5836L1rJ/BaN6wXZDAgRLdkRc5Bf
OmVjQpgeMIRxgLBzjfupQYzQMi2Bw11UmyMQb/jTUrOf28zmFuuj9sq31avs+8008AFnRXpJkYyt
5ji2jMJ6RnhxN5mWA4BpH8aqxOOdnZaybcHFuIH7vjhxKN4TVo+0kMiLoOPucKb+Ugj7c4Jy75QL
+3pEGQBeO4frwQg3abqfWlmfkQtfg6g9GyBWv9iPnf9wezPrwN3otsMV9T60pJhh6A3LJg/SnV9R
Vt51OvveyDErsrmt1/nr7ahdrxhs7zPpvd3zVdLv5gk7JILk16rFPp/3NCf4uU/DvDRdumcJ/0eF
TZeSGuYDuU/YYlMsnHgW0i3VLfErgQz+paHYd7PE7Iv9kvhXFWt5uLhITzTWmKyfH9HnA+RJs8E5
ntIVFyNYLTwm65iDIfthYtJrmCGsOLoZhPzICoqq+E5S0x2COl/GYbizsMPuaxztW3xiJvaP5Yx/
5yGLgORKoS1oKedXp8OQLNH40dmeHfLUucbs6nDIHB5MpMTrNN+7f+2v/yBsv0LYOPyyTP6ckLz8
odLX+gd87dvD/iXYWzX4FhHhmMpB7L7D14SOLI8MKQ4qEI9rduG/EDbT5UGwhwz58JLuD4wkZCVH
HLT+glOHAQr3v6Bs9ruBRl8TuFGQ2hbh9Y7PqenHfaFFzbVMcZVdSYNqvRcLNRFd2pbbM4gmvgad
YE50js/UCtRdqR1rg7xBieObubWeUhpxtW7+Is14AB7RGztUqF6Xs6oc949WFu4G9THm0Ja6pdhB
4BTkxTRb9xpaaG+IA/R0BgKdwq2QJutzDAy5zemjTvwbPdV698NYD6Mwt43Ty2a+NysZ9QAeY69/
KswJBCZYLM0YKImvdZa01NOmUHmuFhgjeh1QnXixc+qvmYraxrtPDJedJwt1gEdjK0qrX2RAokDZ
PXRkh4uthwa90J/S1u2XYV81o0cldKdTOXlORZoPW1D510Tr5M5tm/nWNorKDZd5yngovTPLZ+JB
3fTb3v3PDfirGxCNDtfjf78Bb2hN+eHW+/aAP289T//trapKh/C33xDpf0HbnkVqqEvuHpUsjk8P
x79vPUv8RkqdQQaEcB1+WRW2/xYDrH4XkhBNuq9dIuX/l1vvb0nxxJLR22WDiXCcB3t5N+dHkxaP
5CLYR5SkoMpGtuR3SYEZzF5tZgip4J7MbNk1EtegILn95MH2fPI7XX20K6/5RFhw94RerqOjhMv5
u0/y9tt543v8/T2+waszSLG3eYHojTmJ/Lgw+PCMkZh865iNVv1iJ5a6RYdTXdEmD3vdpsXMMKuP
a2kvYoGfPzcWpffz44qtCJZNzLZgR+b66r47AyGiLRpnSNtjFEfPZRuZ4O1D6l9yHzpq4zS2e2Xo
XsUwMzvuWVl++lFkMv2sFrqZ3KFrKWJeZvMUF9QK5M5Q7PtCDvmWvAqHImMPH4jCt4vfteyvRGM2
O0tvsGdLBvJMlSiXrbErbxJj1nEZCASuukfaFHID192AoaLx94ZEawOzd1QwZo7xCQ1UjlY5S4Kl
8+qz21nLVtbFcAfJWO3q2arGQOtNIv7RfvlJ6EdJFpqppT9pUlKsm7sPAwMVXMTS5nHgOk11LS0V
b7VEm/Bh1uZ4wK8fhTlukyBb+oHFz51GxhVwmLBJqiQsDTU/V5kHNaEhG72ypyzaOHLun+g0RY+R
6hCcgS4SNaIU85wDFO68mxJgTuUDaWqWMeF9dIyW+j8t+6BTmyw2jC4st0TQbsgQ0iUefeVvpwH7
zG40lYdei1vpTlEAC5vctpRDLlbSP4ihTrZV707DkXi4IoYprPo7BYMNQGxOwBUpCMyuFDkhzFXU
52QtcTzDK2/Fi3mulNRJ4IlTpmoaC9Yj02LxtWaadbBHw9CCwnIwYtr2M6cwb5vYTnWbV1LturhF
KzrY2G0s2WdVEJPqtdOzTO5kD109F4a2Xwwv/tImBniVnuImG8cNd6p/JPuwvFuMeUThUg9MyBmQ
vWf37kvi9s1hwbW89YumP8ypJFerN3qCBlxiOKB+Rou8rpHAmj0iEIHA0FMn+qCiR2I6hoM3JVMT
FK6d/GFN+ngjaqHsIK3c8g+0QnlNshNwSWsTLxL46HDTgJ3UNoGMyQfdcO/dJ7GWES6TpwNhJIyG
znRPJEiqmqB1SYQJCdlB2pKpqBKBh23qS5WRa0fancz2hl5PX/J8JC0J9gJZXNCwvekXNOAyfRlT
MvYPfjVaxk3XATAsw2IeUblm4zOR37F/NSMsfFk0sx/CyB+U5K5otf61ioasAOij9yYENWJw7geJ
wb4mIuRCoAEt6YzrvdgOo7ak97NZz/MB0QN7thZVeF5rMmXjjRySuPm8RtugUtAqtC1IP6q13ibH
gN7GCVtBX13JZEqbTaub9UtXu+aR4qKCS13p9XHOu/wOUfu6GCa8/3xJqxsSZ6ADh7r1UXD7PJtc
39ucIHmS0SKmbYvUqgM2t7qnPnUyfE3pyKunc3c5tDVyoLSemk9kldWfphH7W+DbYzNuwBRMb4vS
QWmAJ2r4nZa0Qb9k4Az6NWCwOYQNlSovsiuwFTdaAWG/LuU+7xxjAKr/LafPVQWk9eO1So3lsejw
IdchGTALYmUVGVRTb9gJxPxikzqhNycSo3V+IcnOt7iOZhFbWVCLZRqfK1iztEOHZVcvw9yXXDpy
6c61XJzrthO8YiKYa41Qsz7NVltUs2+x2N3MZAuqwKlTA8haZOrDgLznxqqJLwjwWBc3kgaxMqxi
rEgbbx7Ho6rd3ggQsiflVanJtfGbV8C1iznvWFGCtoZfYSoLQHmjYVN10v2sjahxIMZk7ocF4S9E
jjEs6bjxyYYOktadPtVohokrm/2SmCeScyJyLI8xhoNtPnX1753oP6ISczAr+5m9qm2mD0SwmsVG
AzIe916yetKEB2AA+4fTyrKzaCfQzVwScw0o0zRMqUkxSc7jg3IC0hHtV3us4GZGUyQ74IhtZtRY
pTjtqiuryOoz7tbkanAXSZ5p6xUkUWGP2npKirOJU+NIffOCx62LEGawz1DEa/rzxvLbApFRW7oG
6tWuQ5ZdExMUzL1bzftqMmdWv9HJ5IZ1nLyZ2LZ2KmLB70qze3rbR/8ZHH81ONrOOlH898Hx9o+q
Wn0cL1X6o9nq2wP/0kZYv1GxxaAICr8KNj1Qrj/FpG+zJY2FiEPfZsR1PPrLbGX8xm85RHMjTSUg
0IbF+WuA9H+DPIEHI83TpKyVke+dIuJnCgnjjc36ASl2V5kruDf1HbQKvp8gIQo6MhX0+cBpDFBp
ECTNb+xitcVEiMG3YJXCDBGHy3I39Q4mBKOTZD6saS67peVcFyaFDsvadn1hQ0zbjhYgAhtY0Inp
7aObadVClTPsIcIDJYKFBFPSkrSOREIxWyjfC7IHNLNj13YpCyW7LokQY8ssWfaaMOpH2c3yREJI
cs1crW9dbVk+RoaGcMsq3GQr/VXOlazKrpigS+q03gRfQq3arzcZWP4mCavf5GH6qhTDBhkB0VaH
1P1/9s5jSY7k3NKvcm32AQvhoRaziYxIWSpLoMTGDQ3hobV++vkCzb68aA6bw1mTGxoNRBUyM9L9
F+d8Z02+IylVX6dNWTbzd97sBSohdCGUZ/FPERr6VWacJHriMSUG1YyqTbHmeyq/jJuKLani/nbc
lG3GpnGTOhC2gCTUOaJkyuCoqnTc2Zsybt40ctqmlsuLwp8Dv5YIpTY1ndfyNhuai8QOcZZ+Lh01
ROWmwDM3LZ7p886LTZ8Hea946DfNHkP24qpvOr50U/TFP8V9mIbLs70p/tJN+5dNsbtnQwBArfWK
29KF1h8troNgsM1q4FslMkIK0v4GatRbZ6v+ySAnByVsCxAxNLVU1QH6jexQtoP1ec4zE6SS5R0K
VL4IF8FR3IpNzbhYOnqZjdth22P3iMfVI2LUkfYZzYv+o2M8HonCeHTHh8LPy7CbRAMyTn8Qw8Cd
BevDujO0bng3llq9tIU1349dau/8wom0zut3NlZuzty+OBBfkp/9vJU3PrzoK7ZscZsJ8zWZhBNm
lZ5B7hqWfdko+bQMdhM5GpO/CXO0Xhn9LsN4/iiHRr8HiumGchbTicsJcTT3cSGmaRcPOiS9teIO
9MdKHlNf2kDACkh20/TVkL6G9ocgSYS8ufHIQ87Jiw0XKIFRBGvu46MAmoSRxRShU9rXiqdth0Lq
QiBIHBRe44Ra3L2tBYYrgpm0fUyviGHQ41/ZxfZODagKjMFIEODE2hu5O+pU53HzaOd1fbtgxTy7
XtdgwY6XiESEcUceaHxnjQ3PDY8tSxNnMQ81RQoyojgJU13IbEc3xN3D3fS4TL0djCoRlTo4oliU
8eLJfE72FPzTVkIbq0CnkE6xir1H7Hu4oiCt+t7wZJqZPT3Z3QaYCOwmi43PBp6xNNLtNLk4re5e
ey+W8essVvDlg5Hm1r70KwqV3EHt4hljcud7i0ljuqHw8xQy8K6VSDkiYVRMo8kZL9PTtE2Jgrxa
U15NqoPSPLQV2ZBPI8nrE2rznwWs+lnNZpY+pu9Z1rdrGa4jXEQc4za7RbBk/hqOHS0NHVei1Hth
sCNABGNsVFOtKng80ezo0YyiU0GFS2ZevkeAOeSCtIRQydC3zxTbck+8g6WZ+q9u5huZ88575A9j
AP6nOlNXWnjeS5n1Fv/lyOyU6pWtlUGsD718LrMBWYfeMBPYmX1r0qkjUfm92/7PTf0vbmqYJhs3
/J/f1E8VFLb/2n2hU05+NUb/7a/+cVd7n2x+FNpG3M/c4iwR/riqrU+EjrC0ZUm85cPwJ3+kwNif
TLzAGJUtnLAmw6C/39RIHEnXsFk7/AxFxBLyb9zUmEX+NM9gpKTbpNHwMx3mw39Wiwy4Bco2TbYE
YJe2w48zC6VXmfiHmMHk3ilZllFmpx5QdjBOgZmUyR3f3SocoZDgerAGg2VAYr06YIEfUKmXT2Pn
yA9fEKpSr8jbgdat9rFuATwEPu/RJdkkMFhBKqCBc+YUBEvMKc0OY2frBi0Fwne+s6wqgFNDQWjy
Jmr8hDoWWxmbdB57omLWMS1/EPCbgD7wF7HPtE7cx7QKD1ksxQ7O/wjbrtGscysXGlc+gjINNSs2
Y+ZaHULriiQzU2uhJvSmtE6wxy3uQc86sZkitW7Om/FdL/hHYQGQ/Xd+i8G0Q5TMYIjgRTDp1Q1C
adfJl4im0DrR3jrtLqPbzABCTGjdYEK5EL/04kfCB360pU3QTGlPKjLWRH5bHZstV2ZM3Wu9ai4/
l3/Zq6jpFctJzx6hX8wPck7i+2mQ5XPN+Oa+x8myXPCxKcClMIkh2Mac21z9uSGBqzQcfyvGyeuc
8e9qWNCxCzKkLALdSuSMGGh2rytY6g9Ded6DzNkWB4x3dCOUJFKXoZ9P1d6F8MfK0D3NdVHfZ0bj
P9gdLPGbFAzQseP92480rzecvs1hjePpJh58sBHxWIAhtcvqCY6yd9XQaqAEwYPqk5Z9LAz2fuzx
jGfJbO6ULHw6GqbtEyOv6j7DYqQ9rdwckeOmxll03JpNng2C/aeJFQ7CfM9rxpFslUnz28SO8L2l
iXml0hTWzkde6Gx9S/eNtDMvInAJ1wXHrn+da47hhc3nE3tAdZ1xWiiWay0Vpj1aHxSlXYcuQbPN
sGeo9cVbM2+XdYZ/U9eWq/bDoqszyOYyOUq36dcThhYEK4kctBtTauO0m5jORJY+e2UcdJRvPTHG
3GmQrerhkfGNnd3E1uw/1J5mWIGB+u6lpE69jTtNB4tu5ULT8TClqEt3DtZP66DmRfdloKXpVC+B
xhvRHhc7qbz3hp6ZiZ0/Nbu4dizJ57MN4oSPiG2KSDHz9opcGiY7ErVgf+6detBPOWPC5JWlht+f
bf5DtDiPz5srlfa0THjzzUxCTC7GSzL23WvcFHfSt9RNztbW/5raWjqaYI+KSmhnVegQ5l3QIC+2
xZQqWRcWjcS+RbJdsr3u8D97S89PeEunz0lvJqHmx9UtQ8gm6tgTpoMRhwkMFzrelKAGBmnx9JnK
TjlHvt7acwnA6FC1LWuQwbaKmjGnAY03NZsNoKP27ME79Q2PtpkfFz0BrsDGZgiXfp4vGp7eExZe
O1z88rFaIRannWRebHQ736vm85brHLmwS5DvQm1lnnJA8ah9s1dOmlySoSDXw+wZmEMT0yB4oXfv
8Po/gSFXoaumbYpmfzbazfQ0DAN6gaG6nzz9EfqEiewauRFTTrw8omGTlEsu/9pRe1l2O6rP8qKX
dfedWOs7fQVwicV3Os5Tkz+VDgKCdKw60rBhzgi8rw9gH6x9A6Q+mJJ4OQhnvUsabznkguo7jrt8
T9qKEWDr6XYGmis8p21Vh5m3vpMxgxw1d+/Xur3tpwxashmjCLWq9tBIYPMpnorbtgUc6HS5FwB/
+o0hQXMoE8OLErnIPallVPPS7sj0NBsyN1kY5+OobW5/ILT5MgaDqz62OU2oDNQlmbuUIRisiuVv
1b5OaTMdSZjpX9DU9TwYk3ZQ7fxjaJ18C6Faor6djOfRMOWHldkaMF0ZC6ipcN0Dwhx00qQYgRyt
ApZg2ZBM5vt4wYOaXNpDPWTi7IE32MFQdK9DDWASyGcVpkWXHHpbFDwVzureLV0DSQcjSJJGXpP0
j37XyM8+wdCRtYVD0yXHd6vvNb8RtlCh/5iT7K1284JJDYIlmZjevuh6/1BhB36vJ6m/+q2CHDpi
sq2mcr0rPbO6LIBYj4VVeFeLP7jtnFm7R6702VXNRkD2gU3BPnbuKNUMDPtznxlne07VjZ8Vno8O
0W52eZ8MMIBNNvNB4yRrKCZG+nYPTXg0DevOkhT7K+a8NtDqMgHqB3HQrd2MYDbFvLNWQ9Bog/a5
r/XulSeubMJkmOqLbrWPYM6rK4Jq/c5KszL0et7pIecxEPj0ZrPbzZsw3jRR546d0E6tdNPvFk6F
7+SPoHWMYart6L4naBDCWc4lUjRrly4NGCU7MV6AQo+PMZlQ36AaqQhet3fTSPND84cfSVKqN2YW
mLeXUt91wn4pha1taH/MR1Y2BiO+Pb5KjXxRrTggYv2QzvDVMxv7AEuiD1Yw3uwllrdlXHyY1ZUJ
dLn9QvZBxqxMP2FPZI9imPV3hTM6yFKtgg9rpcfRxPawM9dFIAKXxkPeOW2UdVN2LQ3nrlTMb5FR
DlGB53sJTDUm/W6K26mOOqNY79TSy4hN7DcQIc9IvSmlqC9QvGHOskaAI0bKQBTqRxP42+GK5W8r
Zhpv16OcCWZuuSguZfLFzLJn8jXwKEyN/sHKNzlWied+b432kWXyD4nCw2uTZudr7nsJuyncQpQO
c6a7Z3+R602tD4KJQfNeKfQWdApn0GCSs7OuI/bIGWGcI6iTeSlO1ljDr9LNIHWMl2RaspucZ54Q
LQcEb4v90Ex7djN6emhHcpCrfn4Sa9ztjTUucY/YuyFO1289AoBdbw3VE9Joouq6lfdaFtaCZg2+
gY3UPljKrthDJCiCVvO+SmW+EaYl3/XGtu7ZWpLj69lX7O88V/bXwiyMU7IOmBlAaFygQ1SXoTG/
u8WEC9L4hrK0iUO4EvUOgMV09Grsep2oBSHC+O9GwJMHKhb30dAWFTI3Tfc61eO9WbryocWCD0s6
hDRzSGL9Ll46sbPdmkcUl0RISpsZgvQz7qw6fcHL6+BcicFdT4nNIMYsq0cyQzDqIrdx4R3YjqoC
wZV+ozWdg2Vt/dynyWErNhujvGferHZi8lHSVD9AkB0xKeRBrOn3cuogsdKaxj3muc4N0rr4wHtS
soCbn6dueKiN/r7XyluqtWTHD0bN2Mt5BzWB7JBxICYl5Wtue5AGQ1DONnYAV9g3LNC8G6dooGMx
B4fcjiQCKeH6YLZl9h/72u9Rnf+q8XPYz/5V4/f6vev/63PSKjqdX2a01u9/84++z/3kmjR9rOuZ
rCIP44f+0fiZn8hI9ElBIOXubza1P2a0+ifH2ihZDHYR0xOf9vfOz/2Ett7RaSWRxhCN7P87nR98
rT91fggMGPficWdCS2n4Z/+DWsSUl6mKcai4w6XySjZ6KFa7CxltIswFwV9Bhln8kRFqsBQKGUwy
J7BWjOmYxa0G6wXxKYtLv31il6ghKsz9z4nX5wf0OSqwksGvLtVMXgNTrj5DAR3bJ3xdbrsf0kGu
O1sD4hT4ns2qTGS2E47+ksG2LeZjI8W59DJGIUQVtdh2PfXCgUA9PNqt3PlO+sbU7LPR5UgyheyW
l7UfV76O+bJPRk0Pe3ZZVzVVBkz4ki5t5jQB9q/l48agYui1NAm8cxy3IdMlAECVdk1knXZhPKfT
sbWa6nadljKYO0t/XaEbXFJLX55lvVj7pe3iB5ZumGD8dXvleZl1kVk4SQhDj/APlw0OdtOleFKx
be9Na2Zy2vHHcD+NC1ChF+oMO1BeP956Ytl7uH53GtyRUFHbM/hLRP+U1an7ICvDukrEh8APnVYY
7OsHXnHuaWvoDxJEvzuKyKyJCnCWJg/5N2eh1fUAniq/QGnsuoGcrdeB4NGjQQPnCoZ4xhDfK28d
e1w7pDSFLpREVlOTAJqvVnHTMxNDZ1kCv/KctefI748kR/UvoltSTD/JakTaaLZsDBeLg78D3uBP
9nCzeuaxT/V3CnVyP3ktUSb7z7IESc8K9WXJFkErqJcfm3TrbMQ1kKfFi0MU+JHCPMR8TKlHuPVW
GY5uld/CB8SXVMZcjT5MAhfKT+Xcq6FzHjJLk4w83fFdttK8LvgzIls5882y1t97E8siwtzViWST
qId1Srvz7OdBmzpkXYBMpXfl7swNh5l9qckrSvI31VXljpV6duKAleoy9Xo+XmdfVc2XliCWD31q
KGXoJK5OQcg7AgTrKQNmFrLgHG7YqjXOrgcZ0QdTXbS3NFgf0yyGOw3jWGRO+ndRFh8InCnWC7ts
TmMqYC0kln5PnW50YdEuHsR78Eirtl1Fo8wjp5E5It5iGApoMIOd7qVTlTk0jGn6iCGQ66GxMAeJ
Ou6pmbqnZR3CpxzZbo8ddUN+olZb8dmBq7mpG5B7FHqLvI61+QAD4n3t/He9JUec0OGodfWChbuT
1P5OuHHTHjDMmAddmc4r5P1nJevvujlIWh83r6OWauho0xJ493HO9rf0QWyksWNiHuHs4CegGLG6
+K5rkgsw4uk0G6Q28DCT97sbVDeZt53frergSbxou6Gt3wtomsNj2y8u/yQS47RBPlBQVyDIMibV
ozWG3ejM+0H3DzT+8SmDkNVcTZQTxXGQRuHvgGqmFya4KZOYDnt4wCbevu1sS0auVcUnIoeNqKk3
NANBjKFRO96raIvFBrh9QSmnHVXfxQeSwlQgHVPb25JWhwzEaV9u6DrW2tnbbFMIFXQ4Fw+Sqyh7
iJlyMQb8LyILiJawr+yPMjSCVLcsR0BkjZmA+lM05zSz1rAahvrAih8XglGo22lkMrQb0nV9bnLd
Ptm9197O1DefJ2qdIccWk6mwyLs6RwhdeRE09GKf1hdnmd+YYSCDAVBP+ppcI5v/F3FeenVr5BaK
DVtotAxN1Zh6aNNRu6eMZpOTqm2ult9az2jlEUo4EOFjG5kyU+51OUhNVu7Oz7PsfU1RuojZnS6M
O+nN2vGDwDHC0KF4YBl2/XZvMrJklDTe5atafmBOHflT14XfoVhdgSzC4Ce7r0I6NPEufUIQE/4E
ZlAfTpLgkl1VyfYmyYePzdXAYjAfj+UK+zjIJRtwwC7T5Gxbw/6rWXLbRK5wuxuo//5+VMaTYl16
tLQCRaS+eY9LLz1AmAJKs7bHrvZ03CK+x/qrgmpPmNORqkk/6cs2d/PJtHUmMTN58vSL0yNG4sb2
9l2tm6zaDR/hqJtEs5k/yq1cczvlHqaaTAwwFbisEyYAwUJ+fADpVOwmY8xD3zKbU4OrADOLyppQ
n62H1qi20aS57Gy+ordxrZK7hBJzl+Uo6dGF+qFtJsYZHJVEFNFc5qJoIn0ltNCu2hkrUz1FKZIY
QpgsFayDiE/t6v+GYrs4Kbv91pB3GA3Z9FtRAIHTjQWBy8B1Y7TxyWs7dRym3MLQ4d0RtPTYdyUt
ZUGijjeM9nUSCbErWkfLkz4Oeqddpzh9wAnrnbERm3wb8ztYrlvSckY1i/zG1gmU6Zy9vXZwyTJf
AUIbB9aCYl5eREa4yUTOjXhs2JM4SJb6ZSCcRVdVBNfGoIb9uRoBlbwwoBM/lyZO6a1Af6Vfr08F
dDftDVAOq5YETtLKJJANjP77NmbOjDwXkdsbxnKs7eTJ/ilIWn+Kk7osF3djZqBbq2xGbiZ0ugqF
WVt8X37qm3Qmy/cmOJoY6Va7vlr1ML8W5Cye3U0jNWxqqWbRJoRThYuDHMjReCYhY+Loz0lzmMcY
rdWmujIKTkxyz50vUDdxx23qLEKGBiuwN82Wtw7YsXQi0dnJR7TME67oTeNlDtqh23Rf3eI1+wnQ
8N76KQsjZx3yZ2PxBjHRmfewN9RnscgaWw/rrxbIHEUHiXo45jfpmY7DOpiqAWMTt9s6bcBF69LW
QxFHvdnWRkezMPhMeNJR37Nmo8H3lpgkuM4dyAHO8vi8dEapwtXrxuGkx8twgRmtnbSfqjldEgrI
/Fj494atOf2u6tcm2dPo4tT3/LUNY2tgS7rJ8TqbPVjIci29enHbPKZ+inLPd5aEEZJvHzqG0PuW
bcSRYEHUfk02jyj/iIjbKJgIAnOsQiFh7MZN8VMviNF8ecO8LPZOZx+sniUrER6byNBDtMLfJwWs
2zSIipk7c9EEVp41a8WdWJwU7qjmNvSgICZObLr1V+YnRFDV7EzZiG6ix/qnALLLep3RWd+/cXiv
jIU6BzKC8ZtwM7I2WaIwP6feaoI80xdW7Bizo6kfSFZvB9vc9azNoS87MeZuEN5437OYREE7vq3t
iaHVpuacNl2n81PiWVr0xMRpIvzs7JLEJhYHEeIp6+z9lIjmpVi+oVuMP3xq7hc0fO5FihhZabKM
7k2nU5qFUhnKv8Web+1oBd/6TaazbIIdZ5Pu5JuIx5xt/dSay9oyeEydd6sWzKo7r26RzbucA7np
3+bpsnw3Nal2fZMYXzhPk3MyaUaEnd15G4G0L7usLVy519h3eGHP1BIEaNHul7K3HhF3WPTK5IpW
5GdHmWB3BM9liOx5HC+rO07M3wA3kKW6SdqneZfaGRmMWR1/YWI2NwijKrE3koppfW3UGNRxXrH1
n8HPyL7BAxc7e3PU3W9mac43dZesdx4++qd6Y8XuOM9T8AtG9+yXev6myF9VBOikPhgDRYCFm+tn
ZMzN3uV5veiNcq7W2jOx10mOM1dgNhrMpgBncR0tSBmo/cFI2ojEdrT4hHlmeVHuJ6S9hzTXytOs
U4vXbEmeq5YttKa3UV836DVUCy8pLca71HXNC4fEiMEr5svijiYFCyeflbXJDnFuTb5cClBRkIC6
y8alCaqi47veivRSJ9QoeaE3FFDQOuPMIYmHqKOJCcjg/Bh71JIOYVPers79+Ra96UwmaCuq/c+m
9j+L33/V/2OwoFX+54vfZyRa37vu+/f/KfC3fv9bfwj8DRp8+mp0VD9TL/7W9/s6URmUVpw1hgvK
dZNt/bHxdT7BrCEoQ/xO89ssN9wTffy//5clPpGlTlABUi/bsxgb/Dt9v3D/QcFO8DiDB6EbOHx8
5GO/KtjdpbW0eLLLk8Y326D+ZAOUjhHQ0QmUWsGeJTCYS0w3vbksu6JrMAV2QKBdpqrHphAJ7jbZ
FRFra4OqXjjYmvUsctiZhkpxRu+m1ooKGrG3Av1Kg4jHtr5QGRgns9bz3eDbrPVixcUt3W9DWfen
0erUAXmxCgm0aHaGzOLdyhF/WEZdZ71Lll6w+gST2myl6Hs89EzpUr2JuvG+lG1XnAY4UHs9Idmm
Qwev9+AmxjRR90YrvWO5JPmzid4ScFon0NWgmKjIMBqag4n490ye0LasYZrzm/TcmmFBAYonKOj4
biuupJcs7T0iQFb9cZhaMyxz7D+D4d/qqdWEXqHUB2TXmAFINoI2G8YwIx4qkKneHloXKsKUCE5Q
a7lWdeWeWuTmeyCnDLuZ+t6Xrn9WJXOPas4eNNYZASl/WAWXyYswCVTBkDX2E71ZGU2N0HeoVsSN
D137NHSrdpTayqo0i7UzHmMOFnCuHDFMpDvEIreESKJlazxtg53jwQcLzbQA+8mNkoV9ELVR7M2G
GB+M1uu1Hs3u1k00RsqD+ezMxfx1YdsedRPmAelm3XXNmMdC+GfGMVRzqNXz8iiS1P1tYHxZl8uH
XiTdAd9CehxGZR5wjMnPo5dUe1IVnG9eAmodB7aZ3iqkV5gRa6jD80yf6m3nJdeLd6Q8afeNw84Q
jC/4VHwg26SE1n1pqXTbcvpByIC/X0kc8VjVFWXE90ZcBabK/GZJ65cYgdCLh/X6i4aQn7HWauu3
MAPHi6cxEq8KnQ+ZJOM6qhWrc4iDdD2sfM8SBOy9ZYzVbT4ZL/GsoRsEYtEcvaHKrnPVaGfwgOO9
WbT+RTQJ24w6F2m7S9g4u8dBoxHYtx3taOAPIst2cManM2ucfUrklc9iacMZitrbmQzJt82jWRyX
gUKsJOaJYkUMOpRuE0KaNa1cG2mj3JAtRBLM5lo8oKM++uijgngom9vWMb9UeePKm8bK5/hSG/mr
k7TuY1HZtG7M5E5dMghpHvKehY8bjMxw/K80Hg2sKrms9yt6g4duoG/+ChGDDQP47qD0+uHFrrdu
BSsJe5EcBwgzNiyq7WBEKi/981S5JmYA2eVLWMdO/VhTcaXTVp6oY03R1L6Y+SSyObSRDvYxFD23
cs8w0b1OCwtCh/V7Dkre92KECgmreauAKiV1qHANNbdea+quWdzCfdXRyTQthdJiXMuZIuxbKqHm
2MnqB5xwwIeFhimQJQVPrp0FQLgGjOsMy5g5jjkCEb33099AaS/a0StHNPnEnE5aUHkDSPBxIJ2V
GVk8iNtJFf7nYqntLxk2K54UHTH7yYh7fSRhepofcI2Ib8wc+uxAwz2ibVlwOIQwU+lme2QWflTa
Gb9yzVXrQCnSjWeLEU2BmiDHE65PdXLg7OM39pmUecAUkST0QpEOjsfXL6t7Fxlb5ZCATKxsf8GV
aOuA6kaoP+7sKsyPpXM/b+MPW6Aj0RlQpQHBeGxzHDJsn0mAMy8t5kfqiapttvh0f4IVZDm3pS/I
uEsowsVMEphNh9SDw7Dcw2CY8aF0R+9QQeV+IG31ZlW+wfzFsCuyc+z4IuvaRY3eixhdjufypRqT
umF0NhhBj83o7LntAXEawWpsxzm/lJNEraosbY/xUH9iWIR000TNuLMm6i1HK0s4WpCsvdHFHuyg
tkEbb7KAs/zLYnlQNpvWCLNZqEPfsiYM1nXIdUIg1+VrszS/cUe1d4irmBS4UtsluBC8wNQb/Umt
htzPeuq92EJ1VyE0yeVQ5qdcud191Xsa5TEjybHU5dfVdGyIMUbYuSDCODrlseBHvWWuQSxl4Xvv
o9HMVdBLsz4S0D1f3NVdb4VteoFqSBqqpyVlm2exzG0qXAak5LDbEcFMoZyyPYuhOqYjfPmUHd4D
/BRkxTDIOmi2L6tb9acFJOLBaMv1YGMObZDrIHxZO20EiQnK30Vyk4btbHqXxOKIJ7Yd60ZrlQHw
hPlp9oUdmIx2AwU59YGocijYIOYikfoIMXkBe9K9xxzuuYg5GlfxZkHg5i60/foLPtL+1nBX4zv6
iWpvk0gbkeBgHJ2usV6hmNd06pUK6SHVPoU6HbVln99lDEI/D3wPb1nrtw94eP0bkEQlhEksu2xi
k0NjxeMdU27m/NCqjpC0PxpPJDcLgQyvEnnGnZSGzw/pHCoBQKzB4FX6rios/a6b46LfJXzzH+zU
nQ+o3dsvEGnQgzuMt1lhX0EJzQWRG55zKli7XmGaAkMjCOG3CZtVUM+FHmVLpZ9onl9BB9DAl2zh
scW6m+nCgtOXtR4DAe1tLqUeCSCct3aS6HgoOniZ3P5NyICNcBqW4tAccHpg6O3JtATD3QXCnSNf
QzvVjbODUN3W8dsiQSWNUJkwSQrQAWARMsdQG31z8lbL40vdMnOvoNd8MWd2ebNgyxq4espJ0OJC
gRM3op1xnyzgvYorTxUEkDx3Dokf1//U92Wf9Mu/qu9t3WSp9s/r+8/fWxTl/S/V/e9/54/NnvGJ
qhqbBIu63z0W/73Zg/ItUHOyohPG73LP/67whf0JbSPUBvPvfcHfKnxhsir0mT0KG28pEmf336rw
f93rmf72ZfPx5rNzxIah/8m96xnjsKISg/rngSYp4piMNNVYwf94T/4fXLgeSTq8RkFrAprT+jP7
Qg445Szu6+OQlpjaGHcR1TDL6mNj8z4UDh64HLtoG4JYrd//+ndvn9evsCN+OQZcT9+Yai5v9q8t
TOzkpJRnnn9Uwq+yvdt2UzjO6E3BF2ePKe6OL8ovap8NVmKF3BfJ91nrS/I7WscKc7RxwTKwyu9H
IGVWozXnYctM6bwU9GCaS3sHoY59CoHgtzQU8rFw8in8/3gRLntcY+OH8CD9qQ/TW8Y9Rb/6x2bF
TTYLPJuFVqCKdKflpbFwMEsjc61IK6D4GfpcvxPt6dEmKLJC+8TflKTm/FB1hODp44owwQe/O9Ib
nWZYI+wUEVYVyQBspFwB/GmEFB3++jX8wwqZz8FjHY3h3EPD/GciWUdG67AQSc0wqZ7Yo3KGz2O7
IEpKf/z1b6L9/YdP3PN06Hn0wPY/NK020r2iNvhNo6V0dPMNH57jNee2t5qrbiMr/evftz1BvxiY
eGU+W3hh8oibTOp/fcJMoyvLAsbKET9De+VEofoYMJv+9W/5v7x/tOHC2tz+aL3/zLjwW44LClHv
2JpTcvB412rLT45Z5z3/9S8yt4fpT6/HNo1NO7CdC/9wKKQKoNfEM3iEeZafVrczo9jnmVkWPril
sHC3GjEGoqrqs8dltL2bmvVoKFAOP9JrwHyx7ebaLg7aO2dEdlIbCTXxCLP8qDY0QJVjIkx4Nl9G
hZ9wh+hZULKmEwJOofglcy0AW3hmcuxMp3udnDU5/vWLtH7Cm355lXjbIH5hRMKb74P6+PVT26yp
bJ3a+TiliLPIqwJso2THFLvN9lXWmfAWqx/grrWt+EVZurjpMS/SYT8adb8nqry9q7NkInaXlOLG
KXExmVlyZ6P5YWtbFK924yAxm8wnAyYnd/aUG7vWkYwX9Mzfx1h7w36M55dYlcwJVLIcMrU30lF9
cJxlR6e3bZbXJpyjpKou3C7xsaglHHCq5SNQk4VlRVJEsSmMQ2dV3nMr7fSUamkBM7KJIaEq+TXG
Z8BgJgOEVq/jfZ0bUxOMqytucAHlh1E6dkQrL4DG1sPOQUGZ73pDVcesrbLP7HxANrESLYtFu6cG
XL4RQr/Jn2OCifGaHGwpkOOnDpqAFZVUqLmruNqxpT/XQ1e8uirOfhBoWrFr1n1mRFu0FFE/FZ12
VcbzmwtwIHQLsz3avp+f0iWdb8ClO/cOG8OQeNQN3lIk0/3Ql0gu09z+ojddpM0+tj+ZfdcyzbvV
CEMMhUrADLjtuSjgrueO0TDg8DecanlH3KEMzBnzTKDgFASaWx6w7N1s7ycSsJSAMuB+AC9ZPxiF
9W5v2fSgT/WTyoriRqDkeNHyDNOwwRLnzhg0irAFIUSkc7/s0mKyDlh2vRMVs/WllU73wKC8K0+9
PlDvuZ31nIl9iQI7QkIHc7ixrC8VzKl9FptaCG/QK4LKLNuXcumYJZPXxEeDAbmbK3WclmEfx9bV
lEzKOdvGE4LGJVi0ufe2UNFvVIAFkFajvi5tfptIcttYb9CuqnwIB8ksnRIZvoyun2uTPYeuhAhS
f1ZPiHpu0VF/xAjIj3Hf64/SWJcobZ3XBSSV+X/YO7MmtZElCv8Vh99xaBd68ETchm6aXuge7+MX
QgYN2pCEVsSvv1+x2IheZ6QHx43b4Qfb0KVSqpSVlXnynGUUDcF7I8TjG9aXnKI+ZadUvjHXRYXQ
QWCdxeUGkVOJAmPhr3pnZNOmZOF6Li6qqAbyMvIBfsQCaL2wRkG2jmjj6k//6iVuzWTWU1rPqHPT
SoJgQyqtShZXWZlDtqHgwlv0DcjOKs8bFgtDGaVZ1rvWARYDOiH8T9d6bVMxkuj4zkzoF2pO/7D5
+ckdQAeeEIptq+u6lrWxS8fepax60qUZ87oYPaL94AwGQHThwVpAZkXuCyLa3J2iD+9Hs7TUFt/8
qVzMDTOrv6llWl0t+/1yHJRWTudaot2kUo8OdI7mAwCd5biQeb96dZBAwF/XC/VM8s1MHtMeY27Q
J1oZy/OltAC03NusP2slqnPkid0xZfrkXAtjav01vB3g8r2RbKyiGw+xEaSFqeHp8A7f+FERAGo3
1qsrKEuCoREX9ahnkJJaZVJwMfXLmoR/WsUTGIjC4VTQmmxKGtTTWOHcqUDB5S3YOeQNRBVU0ZNz
qayUc+44vTKNXDmvQOMjJiDV14B+s68bq9LuFF7USe2hBzAEmwNRqpTEpQNJSUXrh7S5BOCTzlwT
jD3t9+aXLb1BRK73U08ivgjjxL1DpoPopCTkQ0qKCvDCgmqBVj+aWQoZwpc1ZdIPIej3b76vBsNA
2lRDmn7W9z09AbkeyOq4QvfhIllYxZc4z+gToK473/Rc6TL0NXxPyk2uEsIvI4zhfICY+rKu1WSi
upvplZnB7lZXKoV7JAKQM43FqTgtufOAXhlLWlZgHFTlnE4N5VwjB3C3MRPoFADV8zuKFcLFYBhg
XFOVmQSFJY3KMueWSBeSmFFNSmd54OvnquXqdzKOYbCJgJQnubK5lHwjHFhmMb0iVtEHydSwwKWG
6VUJduBMVt36b2Lg8otXpvj1WAHrQcM3Mqm6BvBKWq5G06inX+c0Hn6ouYA77IXsvBsaS5h27erf
K9jBBezEzT8AZOBvND5/SCVaH9CYkb9Jff0atkF/ZJareJT5CgVf4kX1Wl9Lo3yFU5DTQkVvYqVd
JO5qPV4GdAiWoQ+bgDp1z+OIPPC0pwyqPAcYElQUpT0J9GxkgZp2F+UoTcraHWF+M5gB8Fm5N+TY
V4ib1LA75+uI2ivlP4nmL6DiNxaZ5ATPSpWP3KGiuZN1payXm/F2e/9/QeqlAyut/gQyTx9Yv9b0
DEeLxoF19zv7A6ssaYLPjXyDRIyOmBXR7L4kBUEmH1FZ4jy7L1YdkKjivCoJiXbN1EijCvzq4bwq
vaMGbxJOwkZGkAzHwD/oQTwJtTnF6SIGtjgDaRpAVBEkHzMqFZUMwHlVTYrlfJGFgLp/HFnjfhf/
HRNGiajvKCp8cAFxtji6QLpWw2Wy5gJ9FKFQTj8rLNsrJ541cJfz5y+ln5xMKY71+0JhgiAbzjpd
OmGtq9mdQj3U5FtfD2sJRdVlDyoxowblqlDG+Z5tJY5dmjZyiWhlq4Ecw2SLIrKkUptezuNV3DcX
BImaK1nmaJoupBHs1oXj9SVoRG6KVBNKqJKBKmqYbRVS+yheXhvoAU4/1av8wheKqhkYlnsfSCSM
K6TpIhK9QoW1r6a8wkppoHdwVsEzkEPLsFy5wceVReNDSsgYgbscMgk2KY+Gb/arQrlK5cT7XK9D
YCHTFQ0q7EJhdUGeNFSX12ZOflJf05nUl+l5+84+Dp1ej9zVWR/4yQAWNE2903pmsrn2c8vtfayk
nqdF52q5oO2d/ksKbOvpyAxTikf/W15j7/6Gdm5DOUX66s/CSesPTlaE+U/ODfHpfYyi2qf4333p
8Ho+PtAb53WJs75Gwbrhh7aT2s74uTFCmxsr5s77t5r5Ttse0IC3b394V8OYc9DuY3g3oMbTDdFB
g3fhZ3fBIyM9ZYbn73Bnz+e/89wd7Aw0nr9/S03/QXvAP7aChLQNIgD0du+sABHLsRX6Flo1fUIX
Mh27n+M1//gzfM0dvuY7DSvM4iLKxWpceHF0vL/gqV+3Ek5G+LUSVOudTjrHJEe5fdASMIVjG1hQ
kAoLIbKzM8Hugr/RStB5OK8zgj1nfx56aNV5s5zb/Pk6wKaKWDQ9IjIS6OKH5X5sBPCo7+BzFBnj
HUX27oK/kRHYvMSG3copsBTI5mo08wNHET9EGk0rAI7RdTKNZAD3VuKCv5EVVCgfWluBqgIdP1of
cfLDXR5bgRdCpXuYxD74nb2VXmuFV5jq514zcL1wvt1lPCd7bDN66gsH7/rw871PEe5TOI7GF0Xw
u7v2r03oj8YLs33QRx8eHvz2Ovtf39/gw0s3rnW4q8N/XnpOanOWrbcf1PtpTuwlO9V/QvuHvbSP
nR7PBSf1aybv3zbmefQWvDBwFpyMKxK/rceFbDVuEpEA8mJVth84sKPMzg4jbXdBovXDvx89vvx0
CM+ZYmCHCGOlJ210O7/adtaDOIxTe95g4UWehti//cjg/2a5Nyvw5bvBhEnAbeO32g4+dEK7slPn
MJIYGbG5Dox92H/exH+/wTjF8kezexH5hQ5WIfmf1Js3lzcIK45JbS0zcmJaLpsjo3BEWNB25Ess
7nmHcbbLW91ynrcdeDy33cYClGHD68CFjBGki2Kv+Ubu4tLWU47m6Lc1rYx2VQfPbxxXJ8NafaL/
thO+fuibDFmROxiYmRWzoD6MtF0X4mRy+I9/7/duYnLXD8xsKf0O1sat7UUN7yFgBR3M+daGsfZU
sBMmqg4e4a2dZfbMLTInzxtrGkokrQuTeDPXW9jNAwyhdQd7wa0nsOBx3ljZSB8I1s22K/vWyzLx
J0kavglwrtTR6HGRng7dycRBz5z4EMQi+lZ7k0ycH6l9Ej1RIqcTvrW1J05pN/et/dGm7WOcONWb
S3uZZK7X3NYZ3+rg7RHjXzlp5tQHIwhPBdpQ7mjwp4VEns4avSr8EzP/K06Dk3kbHTjvCbxEj5Pz
IRkgNKFaP9XtBYZ2cPruQwLRQUjylH5ES4vfBSERSfNUowBB6sDJ3qXO4jRHRLtve0vfv8CI3NIk
L4lRtxz+44sskZ1c4OFCFCSUHZxHnm12ajn1T866earcp1Havpufc9s9rDvhC0GAKx3s9c/gQlsa
4lEyGfSXOnAkX232HRismq8mmWWRym9r6K/OC0w4Le3y1ctmMXX1RuSG5AsdcO3n/nTR9NlZP5Zp
+pmLfJh/OqTcH/u1ZnJNfGMWOnb6x38BAAD//w==</cx:binary>
              </cx:geoCache>
            </cx:geography>
          </cx:layoutPr>
          <cx:valueColors>
            <cx:minColor>
              <a:srgbClr val="FACA82"/>
            </cx:minColor>
            <cx:maxColor>
              <a:srgbClr val="F19100"/>
            </cx:maxColor>
          </cx:valueColors>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12</xdr:col>
      <xdr:colOff>17780</xdr:colOff>
      <xdr:row>2</xdr:row>
      <xdr:rowOff>152400</xdr:rowOff>
    </xdr:to>
    <xdr:grpSp>
      <xdr:nvGrpSpPr>
        <xdr:cNvPr id="6" name="Group 5">
          <a:extLst>
            <a:ext uri="{FF2B5EF4-FFF2-40B4-BE49-F238E27FC236}">
              <a16:creationId xmlns:a16="http://schemas.microsoft.com/office/drawing/2014/main" id="{CD118023-18FB-AB76-2965-1BA92D6F5610}"/>
            </a:ext>
          </a:extLst>
        </xdr:cNvPr>
        <xdr:cNvGrpSpPr/>
      </xdr:nvGrpSpPr>
      <xdr:grpSpPr>
        <a:xfrm>
          <a:off x="0" y="25400"/>
          <a:ext cx="8755380" cy="533400"/>
          <a:chOff x="0" y="7620"/>
          <a:chExt cx="9852660" cy="967740"/>
        </a:xfrm>
      </xdr:grpSpPr>
      <xdr:sp macro="" textlink="">
        <xdr:nvSpPr>
          <xdr:cNvPr id="2" name="Rectangle 1">
            <a:extLst>
              <a:ext uri="{FF2B5EF4-FFF2-40B4-BE49-F238E27FC236}">
                <a16:creationId xmlns:a16="http://schemas.microsoft.com/office/drawing/2014/main" id="{D7321BA7-DCCC-CBCA-C804-E7F30D1C8CE5}"/>
              </a:ext>
            </a:extLst>
          </xdr:cNvPr>
          <xdr:cNvSpPr/>
        </xdr:nvSpPr>
        <xdr:spPr>
          <a:xfrm>
            <a:off x="7620" y="7620"/>
            <a:ext cx="9845040" cy="952500"/>
          </a:xfrm>
          <a:prstGeom prst="rect">
            <a:avLst/>
          </a:prstGeom>
          <a:solidFill>
            <a:srgbClr val="EEF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4" name="Straight Connector 3">
            <a:extLst>
              <a:ext uri="{FF2B5EF4-FFF2-40B4-BE49-F238E27FC236}">
                <a16:creationId xmlns:a16="http://schemas.microsoft.com/office/drawing/2014/main" id="{234FF140-78AE-5E76-7489-FD2F2C3D7DA5}"/>
              </a:ext>
            </a:extLst>
          </xdr:cNvPr>
          <xdr:cNvCxnSpPr/>
        </xdr:nvCxnSpPr>
        <xdr:spPr>
          <a:xfrm flipV="1">
            <a:off x="0" y="967740"/>
            <a:ext cx="9852660" cy="7620"/>
          </a:xfrm>
          <a:prstGeom prst="line">
            <a:avLst/>
          </a:prstGeom>
        </xdr:spPr>
        <xdr:style>
          <a:lnRef idx="1">
            <a:schemeClr val="accent6"/>
          </a:lnRef>
          <a:fillRef idx="0">
            <a:schemeClr val="accent6"/>
          </a:fillRef>
          <a:effectRef idx="0">
            <a:schemeClr val="accent6"/>
          </a:effectRef>
          <a:fontRef idx="minor">
            <a:schemeClr val="tx1"/>
          </a:fontRef>
        </xdr:style>
      </xdr:cxnSp>
    </xdr:grpSp>
    <xdr:clientData/>
  </xdr:twoCellAnchor>
  <xdr:twoCellAnchor>
    <xdr:from>
      <xdr:col>1</xdr:col>
      <xdr:colOff>43180</xdr:colOff>
      <xdr:row>0</xdr:row>
      <xdr:rowOff>134620</xdr:rowOff>
    </xdr:from>
    <xdr:to>
      <xdr:col>3</xdr:col>
      <xdr:colOff>363220</xdr:colOff>
      <xdr:row>3</xdr:row>
      <xdr:rowOff>53340</xdr:rowOff>
    </xdr:to>
    <xdr:sp macro="" textlink="">
      <xdr:nvSpPr>
        <xdr:cNvPr id="7" name="TextBox 6">
          <a:extLst>
            <a:ext uri="{FF2B5EF4-FFF2-40B4-BE49-F238E27FC236}">
              <a16:creationId xmlns:a16="http://schemas.microsoft.com/office/drawing/2014/main" id="{9F097CC3-6E87-21E4-7CC0-A3CB5828F47A}"/>
            </a:ext>
          </a:extLst>
        </xdr:cNvPr>
        <xdr:cNvSpPr txBox="1"/>
      </xdr:nvSpPr>
      <xdr:spPr>
        <a:xfrm>
          <a:off x="716280" y="134620"/>
          <a:ext cx="172974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Staff Metrics</a:t>
          </a:r>
        </a:p>
      </xdr:txBody>
    </xdr:sp>
    <xdr:clientData/>
  </xdr:twoCellAnchor>
  <xdr:twoCellAnchor>
    <xdr:from>
      <xdr:col>3</xdr:col>
      <xdr:colOff>642620</xdr:colOff>
      <xdr:row>1</xdr:row>
      <xdr:rowOff>48133</xdr:rowOff>
    </xdr:from>
    <xdr:to>
      <xdr:col>5</xdr:col>
      <xdr:colOff>365760</xdr:colOff>
      <xdr:row>3</xdr:row>
      <xdr:rowOff>180467</xdr:rowOff>
    </xdr:to>
    <xdr:sp macro="" textlink="">
      <xdr:nvSpPr>
        <xdr:cNvPr id="8" name="TextBox 7">
          <a:extLst>
            <a:ext uri="{FF2B5EF4-FFF2-40B4-BE49-F238E27FC236}">
              <a16:creationId xmlns:a16="http://schemas.microsoft.com/office/drawing/2014/main" id="{914FC4A6-7D1C-5794-3BD7-880D276EED4E}"/>
            </a:ext>
          </a:extLst>
        </xdr:cNvPr>
        <xdr:cNvSpPr txBox="1"/>
      </xdr:nvSpPr>
      <xdr:spPr>
        <a:xfrm>
          <a:off x="2725420" y="251333"/>
          <a:ext cx="1666240" cy="5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HEADCOUNT</a:t>
          </a:r>
        </a:p>
      </xdr:txBody>
    </xdr:sp>
    <xdr:clientData/>
  </xdr:twoCellAnchor>
  <xdr:twoCellAnchor>
    <xdr:from>
      <xdr:col>5</xdr:col>
      <xdr:colOff>99060</xdr:colOff>
      <xdr:row>1</xdr:row>
      <xdr:rowOff>48133</xdr:rowOff>
    </xdr:from>
    <xdr:to>
      <xdr:col>7</xdr:col>
      <xdr:colOff>421640</xdr:colOff>
      <xdr:row>3</xdr:row>
      <xdr:rowOff>180467</xdr:rowOff>
    </xdr:to>
    <xdr:sp macro="" textlink="">
      <xdr:nvSpPr>
        <xdr:cNvPr id="9" name="TextBox 8">
          <a:extLst>
            <a:ext uri="{FF2B5EF4-FFF2-40B4-BE49-F238E27FC236}">
              <a16:creationId xmlns:a16="http://schemas.microsoft.com/office/drawing/2014/main" id="{8E5B8BD7-7674-7A64-645B-1B365FDA99B4}"/>
            </a:ext>
          </a:extLst>
        </xdr:cNvPr>
        <xdr:cNvSpPr txBox="1"/>
      </xdr:nvSpPr>
      <xdr:spPr>
        <a:xfrm>
          <a:off x="4124960" y="251333"/>
          <a:ext cx="1668780" cy="5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TOTAL</a:t>
          </a:r>
          <a:r>
            <a:rPr lang="en-AU" sz="1100" baseline="0"/>
            <a:t> FTE</a:t>
          </a:r>
          <a:endParaRPr lang="en-AU" sz="1100"/>
        </a:p>
      </xdr:txBody>
    </xdr:sp>
    <xdr:clientData/>
  </xdr:twoCellAnchor>
  <xdr:twoCellAnchor>
    <xdr:from>
      <xdr:col>7</xdr:col>
      <xdr:colOff>137160</xdr:colOff>
      <xdr:row>1</xdr:row>
      <xdr:rowOff>48133</xdr:rowOff>
    </xdr:from>
    <xdr:to>
      <xdr:col>9</xdr:col>
      <xdr:colOff>459740</xdr:colOff>
      <xdr:row>3</xdr:row>
      <xdr:rowOff>180467</xdr:rowOff>
    </xdr:to>
    <xdr:sp macro="" textlink="">
      <xdr:nvSpPr>
        <xdr:cNvPr id="10" name="TextBox 9">
          <a:extLst>
            <a:ext uri="{FF2B5EF4-FFF2-40B4-BE49-F238E27FC236}">
              <a16:creationId xmlns:a16="http://schemas.microsoft.com/office/drawing/2014/main" id="{701B33B7-09AF-48AF-0485-149B70B0C94E}"/>
            </a:ext>
          </a:extLst>
        </xdr:cNvPr>
        <xdr:cNvSpPr txBox="1"/>
      </xdr:nvSpPr>
      <xdr:spPr>
        <a:xfrm>
          <a:off x="5509260" y="251333"/>
          <a:ext cx="1668780" cy="5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AVERAGE</a:t>
          </a:r>
          <a:r>
            <a:rPr lang="en-AU" sz="1100" baseline="0"/>
            <a:t> SALARY</a:t>
          </a:r>
          <a:endParaRPr lang="en-AU" sz="1100"/>
        </a:p>
      </xdr:txBody>
    </xdr:sp>
    <xdr:clientData/>
  </xdr:twoCellAnchor>
  <xdr:twoCellAnchor>
    <xdr:from>
      <xdr:col>9</xdr:col>
      <xdr:colOff>543560</xdr:colOff>
      <xdr:row>1</xdr:row>
      <xdr:rowOff>48133</xdr:rowOff>
    </xdr:from>
    <xdr:to>
      <xdr:col>12</xdr:col>
      <xdr:colOff>25400</xdr:colOff>
      <xdr:row>3</xdr:row>
      <xdr:rowOff>180467</xdr:rowOff>
    </xdr:to>
    <xdr:sp macro="" textlink="">
      <xdr:nvSpPr>
        <xdr:cNvPr id="11" name="TextBox 10">
          <a:extLst>
            <a:ext uri="{FF2B5EF4-FFF2-40B4-BE49-F238E27FC236}">
              <a16:creationId xmlns:a16="http://schemas.microsoft.com/office/drawing/2014/main" id="{EBB1AC22-4E5A-4FB6-C7B6-A28AD6C75292}"/>
            </a:ext>
          </a:extLst>
        </xdr:cNvPr>
        <xdr:cNvSpPr txBox="1"/>
      </xdr:nvSpPr>
      <xdr:spPr>
        <a:xfrm>
          <a:off x="7261860" y="251333"/>
          <a:ext cx="1501140" cy="5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TOP</a:t>
          </a:r>
          <a:r>
            <a:rPr lang="en-AU" sz="1100" baseline="0"/>
            <a:t> EARNER SALARY</a:t>
          </a:r>
          <a:endParaRPr lang="en-AU" sz="1100"/>
        </a:p>
      </xdr:txBody>
    </xdr:sp>
    <xdr:clientData/>
  </xdr:twoCellAnchor>
  <xdr:twoCellAnchor>
    <xdr:from>
      <xdr:col>3</xdr:col>
      <xdr:colOff>863600</xdr:colOff>
      <xdr:row>0</xdr:row>
      <xdr:rowOff>53340</xdr:rowOff>
    </xdr:from>
    <xdr:to>
      <xdr:col>5</xdr:col>
      <xdr:colOff>589280</xdr:colOff>
      <xdr:row>2</xdr:row>
      <xdr:rowOff>175260</xdr:rowOff>
    </xdr:to>
    <xdr:sp macro="" textlink="Calculations!$D$6">
      <xdr:nvSpPr>
        <xdr:cNvPr id="12" name="TextBox 11">
          <a:extLst>
            <a:ext uri="{FF2B5EF4-FFF2-40B4-BE49-F238E27FC236}">
              <a16:creationId xmlns:a16="http://schemas.microsoft.com/office/drawing/2014/main" id="{F557D14D-58CA-1556-CCAA-FE51FE08D2B6}"/>
            </a:ext>
          </a:extLst>
        </xdr:cNvPr>
        <xdr:cNvSpPr txBox="1"/>
      </xdr:nvSpPr>
      <xdr:spPr>
        <a:xfrm>
          <a:off x="2946400" y="53340"/>
          <a:ext cx="166878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1224D3-041B-4297-AF73-DC6C00104364}" type="TxLink">
            <a:rPr lang="en-US" sz="1200" b="1" i="0" u="none" strike="noStrike">
              <a:solidFill>
                <a:srgbClr val="000000"/>
              </a:solidFill>
              <a:latin typeface="Aptos Narrow"/>
            </a:rPr>
            <a:pPr/>
            <a:t>321</a:t>
          </a:fld>
          <a:endParaRPr lang="en-AU" sz="1100" b="1"/>
        </a:p>
      </xdr:txBody>
    </xdr:sp>
    <xdr:clientData/>
  </xdr:twoCellAnchor>
  <xdr:twoCellAnchor>
    <xdr:from>
      <xdr:col>5</xdr:col>
      <xdr:colOff>167640</xdr:colOff>
      <xdr:row>0</xdr:row>
      <xdr:rowOff>53340</xdr:rowOff>
    </xdr:from>
    <xdr:to>
      <xdr:col>7</xdr:col>
      <xdr:colOff>490220</xdr:colOff>
      <xdr:row>2</xdr:row>
      <xdr:rowOff>175260</xdr:rowOff>
    </xdr:to>
    <xdr:sp macro="" textlink="Calculations!$E$6">
      <xdr:nvSpPr>
        <xdr:cNvPr id="13" name="TextBox 12">
          <a:extLst>
            <a:ext uri="{FF2B5EF4-FFF2-40B4-BE49-F238E27FC236}">
              <a16:creationId xmlns:a16="http://schemas.microsoft.com/office/drawing/2014/main" id="{720E37A0-B5DD-9C8E-9128-5C9E8CDB0B58}"/>
            </a:ext>
          </a:extLst>
        </xdr:cNvPr>
        <xdr:cNvSpPr txBox="1"/>
      </xdr:nvSpPr>
      <xdr:spPr>
        <a:xfrm>
          <a:off x="4193540" y="53340"/>
          <a:ext cx="166878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2E3E87-CE96-4A79-AE63-CA1C0F5C8EFD}" type="TxLink">
            <a:rPr lang="en-US" sz="1200" b="1" i="0" u="none" strike="noStrike">
              <a:solidFill>
                <a:srgbClr val="000000"/>
              </a:solidFill>
              <a:latin typeface="Aptos Narrow"/>
            </a:rPr>
            <a:pPr/>
            <a:t>261.75</a:t>
          </a:fld>
          <a:endParaRPr lang="en-AU" sz="1100" b="1"/>
        </a:p>
      </xdr:txBody>
    </xdr:sp>
    <xdr:clientData/>
  </xdr:twoCellAnchor>
  <xdr:twoCellAnchor>
    <xdr:from>
      <xdr:col>7</xdr:col>
      <xdr:colOff>342900</xdr:colOff>
      <xdr:row>0</xdr:row>
      <xdr:rowOff>53340</xdr:rowOff>
    </xdr:from>
    <xdr:to>
      <xdr:col>9</xdr:col>
      <xdr:colOff>665480</xdr:colOff>
      <xdr:row>2</xdr:row>
      <xdr:rowOff>175260</xdr:rowOff>
    </xdr:to>
    <xdr:sp macro="" textlink="Calculations!$F$6">
      <xdr:nvSpPr>
        <xdr:cNvPr id="14" name="TextBox 13">
          <a:extLst>
            <a:ext uri="{FF2B5EF4-FFF2-40B4-BE49-F238E27FC236}">
              <a16:creationId xmlns:a16="http://schemas.microsoft.com/office/drawing/2014/main" id="{FEFA3CF5-BA81-10BF-F715-CDF097F33C0E}"/>
            </a:ext>
          </a:extLst>
        </xdr:cNvPr>
        <xdr:cNvSpPr txBox="1"/>
      </xdr:nvSpPr>
      <xdr:spPr>
        <a:xfrm>
          <a:off x="5715000" y="53340"/>
          <a:ext cx="166878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DE88E-24F7-442E-9846-15B9C22C16CE}" type="TxLink">
            <a:rPr lang="en-US" sz="1200" b="1" i="0" u="none" strike="noStrike">
              <a:solidFill>
                <a:srgbClr val="000000"/>
              </a:solidFill>
              <a:latin typeface="Aptos Narrow"/>
            </a:rPr>
            <a:pPr/>
            <a:t> $73,619 </a:t>
          </a:fld>
          <a:endParaRPr lang="en-AU" sz="1100" b="1"/>
        </a:p>
      </xdr:txBody>
    </xdr:sp>
    <xdr:clientData/>
  </xdr:twoCellAnchor>
  <xdr:twoCellAnchor>
    <xdr:from>
      <xdr:col>10</xdr:col>
      <xdr:colOff>144780</xdr:colOff>
      <xdr:row>0</xdr:row>
      <xdr:rowOff>53340</xdr:rowOff>
    </xdr:from>
    <xdr:to>
      <xdr:col>11</xdr:col>
      <xdr:colOff>467360</xdr:colOff>
      <xdr:row>2</xdr:row>
      <xdr:rowOff>175260</xdr:rowOff>
    </xdr:to>
    <xdr:sp macro="" textlink="Calculations!$G$6">
      <xdr:nvSpPr>
        <xdr:cNvPr id="15" name="TextBox 14">
          <a:extLst>
            <a:ext uri="{FF2B5EF4-FFF2-40B4-BE49-F238E27FC236}">
              <a16:creationId xmlns:a16="http://schemas.microsoft.com/office/drawing/2014/main" id="{4008119C-6808-1297-ADF1-5A5621C118E0}"/>
            </a:ext>
          </a:extLst>
        </xdr:cNvPr>
        <xdr:cNvSpPr txBox="1"/>
      </xdr:nvSpPr>
      <xdr:spPr>
        <a:xfrm>
          <a:off x="7536180" y="53340"/>
          <a:ext cx="99568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53037B-C5AF-40ED-9F07-74EA8FB634FD}" type="TxLink">
            <a:rPr lang="en-US" sz="1200" b="1" i="0" u="none" strike="noStrike">
              <a:solidFill>
                <a:srgbClr val="000000"/>
              </a:solidFill>
              <a:latin typeface="Aptos Narrow"/>
            </a:rPr>
            <a:pPr/>
            <a:t> $150,000 </a:t>
          </a:fld>
          <a:endParaRPr lang="en-AU" sz="1100" b="1"/>
        </a:p>
      </xdr:txBody>
    </xdr:sp>
    <xdr:clientData/>
  </xdr:twoCellAnchor>
  <xdr:twoCellAnchor editAs="oneCell">
    <xdr:from>
      <xdr:col>0</xdr:col>
      <xdr:colOff>99060</xdr:colOff>
      <xdr:row>0</xdr:row>
      <xdr:rowOff>1</xdr:rowOff>
    </xdr:from>
    <xdr:to>
      <xdr:col>0</xdr:col>
      <xdr:colOff>647700</xdr:colOff>
      <xdr:row>2</xdr:row>
      <xdr:rowOff>155811</xdr:rowOff>
    </xdr:to>
    <xdr:pic>
      <xdr:nvPicPr>
        <xdr:cNvPr id="17" name="Graphic 16" descr="Cycle with people outline">
          <a:extLst>
            <a:ext uri="{FF2B5EF4-FFF2-40B4-BE49-F238E27FC236}">
              <a16:creationId xmlns:a16="http://schemas.microsoft.com/office/drawing/2014/main" id="{0D1B9E9B-119A-4370-9539-270DF69CC8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60" y="1"/>
          <a:ext cx="548640" cy="562210"/>
        </a:xfrm>
        <a:prstGeom prst="rect">
          <a:avLst/>
        </a:prstGeom>
      </xdr:spPr>
    </xdr:pic>
    <xdr:clientData/>
  </xdr:twoCellAnchor>
  <xdr:twoCellAnchor>
    <xdr:from>
      <xdr:col>0</xdr:col>
      <xdr:colOff>307340</xdr:colOff>
      <xdr:row>3</xdr:row>
      <xdr:rowOff>177800</xdr:rowOff>
    </xdr:from>
    <xdr:to>
      <xdr:col>6</xdr:col>
      <xdr:colOff>317500</xdr:colOff>
      <xdr:row>12</xdr:row>
      <xdr:rowOff>139700</xdr:rowOff>
    </xdr:to>
    <xdr:graphicFrame macro="">
      <xdr:nvGraphicFramePr>
        <xdr:cNvPr id="18" name="Chart 17">
          <a:extLst>
            <a:ext uri="{FF2B5EF4-FFF2-40B4-BE49-F238E27FC236}">
              <a16:creationId xmlns:a16="http://schemas.microsoft.com/office/drawing/2014/main" id="{DAAF44FD-42D4-41D9-AB3F-099C5A204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317500</xdr:colOff>
      <xdr:row>4</xdr:row>
      <xdr:rowOff>66040</xdr:rowOff>
    </xdr:from>
    <xdr:to>
      <xdr:col>11</xdr:col>
      <xdr:colOff>25400</xdr:colOff>
      <xdr:row>13</xdr:row>
      <xdr:rowOff>25400</xdr:rowOff>
    </xdr:to>
    <xdr:graphicFrame macro="">
      <xdr:nvGraphicFramePr>
        <xdr:cNvPr id="19" name="Chart 18">
          <a:extLst>
            <a:ext uri="{FF2B5EF4-FFF2-40B4-BE49-F238E27FC236}">
              <a16:creationId xmlns:a16="http://schemas.microsoft.com/office/drawing/2014/main" id="{F0EE2E6F-C86E-4C63-A27B-A12599867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55762</xdr:colOff>
      <xdr:row>12</xdr:row>
      <xdr:rowOff>123278</xdr:rowOff>
    </xdr:from>
    <xdr:to>
      <xdr:col>12</xdr:col>
      <xdr:colOff>38100</xdr:colOff>
      <xdr:row>16</xdr:row>
      <xdr:rowOff>15948</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C29AA5E7-012F-2FD0-415A-F499B74585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5762" y="2561678"/>
              <a:ext cx="8719938" cy="7054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305163</xdr:colOff>
      <xdr:row>17</xdr:row>
      <xdr:rowOff>51162</xdr:rowOff>
    </xdr:from>
    <xdr:to>
      <xdr:col>11</xdr:col>
      <xdr:colOff>520700</xdr:colOff>
      <xdr:row>28</xdr:row>
      <xdr:rowOff>190500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CACB03A5-C173-4FF3-AB6E-8191FAAAE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657963" y="3505562"/>
              <a:ext cx="4927237" cy="2374538"/>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Barratt" refreshedDate="46072.538402314814" createdVersion="8" refreshedVersion="8" minRefreshableVersion="3" recordCount="321" xr:uid="{1E4B4B53-62CA-4CCB-8251-A9B2DBEBD657}">
  <cacheSource type="worksheet">
    <worksheetSource name="TEmployees"/>
  </cacheSource>
  <cacheFields count="9">
    <cacheField name="Cost Centre" numFmtId="0">
      <sharedItems/>
    </cacheField>
    <cacheField name="Employee ID" numFmtId="0">
      <sharedItems containsSemiMixedTypes="0" containsString="0" containsNumber="1" containsInteger="1" minValue="10031" maxValue="99970" count="321">
        <n v="78557"/>
        <n v="19288"/>
        <n v="49671"/>
        <n v="62844"/>
        <n v="53059"/>
        <n v="49220"/>
        <n v="64358"/>
        <n v="24241"/>
        <n v="23028"/>
        <n v="83509"/>
        <n v="73068"/>
        <n v="72128"/>
        <n v="54181"/>
        <n v="55043"/>
        <n v="26295"/>
        <n v="72794"/>
        <n v="25205"/>
        <n v="75239"/>
        <n v="65906"/>
        <n v="14957"/>
        <n v="49571"/>
        <n v="53919"/>
        <n v="30403"/>
        <n v="31830"/>
        <n v="92148"/>
        <n v="83988"/>
        <n v="59226"/>
        <n v="93739"/>
        <n v="21393"/>
        <n v="18629"/>
        <n v="21097"/>
        <n v="35957"/>
        <n v="38974"/>
        <n v="18015"/>
        <n v="60438"/>
        <n v="11029"/>
        <n v="22855"/>
        <n v="61617"/>
        <n v="82938"/>
        <n v="78026"/>
        <n v="47987"/>
        <n v="68791"/>
        <n v="74044"/>
        <n v="86662"/>
        <n v="99037"/>
        <n v="38475"/>
        <n v="65448"/>
        <n v="20965"/>
        <n v="58277"/>
        <n v="38853"/>
        <n v="44198"/>
        <n v="86707"/>
        <n v="31834"/>
        <n v="66521"/>
        <n v="35158"/>
        <n v="56991"/>
        <n v="25074"/>
        <n v="18369"/>
        <n v="13620"/>
        <n v="78919"/>
        <n v="69193"/>
        <n v="98725"/>
        <n v="36435"/>
        <n v="25585"/>
        <n v="75154"/>
        <n v="62160"/>
        <n v="43617"/>
        <n v="37162"/>
        <n v="94016"/>
        <n v="15518"/>
        <n v="38297"/>
        <n v="91712"/>
        <n v="29182"/>
        <n v="23714"/>
        <n v="35948"/>
        <n v="70084"/>
        <n v="59549"/>
        <n v="57401"/>
        <n v="81616"/>
        <n v="29835"/>
        <n v="23729"/>
        <n v="88150"/>
        <n v="73950"/>
        <n v="29451"/>
        <n v="83912"/>
        <n v="63203"/>
        <n v="93671"/>
        <n v="99119"/>
        <n v="65474"/>
        <n v="78318"/>
        <n v="74933"/>
        <n v="99039"/>
        <n v="52265"/>
        <n v="75331"/>
        <n v="75358"/>
        <n v="93239"/>
        <n v="97827"/>
        <n v="36475"/>
        <n v="81147"/>
        <n v="89923"/>
        <n v="38675"/>
        <n v="11272"/>
        <n v="54593"/>
        <n v="51714"/>
        <n v="52182"/>
        <n v="14648"/>
        <n v="78826"/>
        <n v="29446"/>
        <n v="43670"/>
        <n v="88982"/>
        <n v="30434"/>
        <n v="59676"/>
        <n v="86408"/>
        <n v="48585"/>
        <n v="71660"/>
        <n v="18697"/>
        <n v="21094"/>
        <n v="77702"/>
        <n v="15166"/>
        <n v="39503"/>
        <n v="27104"/>
        <n v="15325"/>
        <n v="49380"/>
        <n v="12003"/>
        <n v="68797"/>
        <n v="53331"/>
        <n v="31061"/>
        <n v="29506"/>
        <n v="95994"/>
        <n v="70389"/>
        <n v="58669"/>
        <n v="76191"/>
        <n v="60099"/>
        <n v="79442"/>
        <n v="75854"/>
        <n v="14406"/>
        <n v="85218"/>
        <n v="21881"/>
        <n v="98941"/>
        <n v="77895"/>
        <n v="88661"/>
        <n v="20008"/>
        <n v="65884"/>
        <n v="37014"/>
        <n v="47966"/>
        <n v="80178"/>
        <n v="88461"/>
        <n v="64767"/>
        <n v="73204"/>
        <n v="60930"/>
        <n v="89617"/>
        <n v="86859"/>
        <n v="40614"/>
        <n v="12684"/>
        <n v="96112"/>
        <n v="10031"/>
        <n v="33851"/>
        <n v="49641"/>
        <n v="76434"/>
        <n v="84745"/>
        <n v="43352"/>
        <n v="53605"/>
        <n v="18601"/>
        <n v="74685"/>
        <n v="44341"/>
        <n v="49689"/>
        <n v="63486"/>
        <n v="60352"/>
        <n v="60289"/>
        <n v="18160"/>
        <n v="31468"/>
        <n v="94015"/>
        <n v="26688"/>
        <n v="41319"/>
        <n v="47629"/>
        <n v="53781"/>
        <n v="17278"/>
        <n v="14709"/>
        <n v="73088"/>
        <n v="64770"/>
        <n v="28468"/>
        <n v="74465"/>
        <n v="88900"/>
        <n v="20698"/>
        <n v="98282"/>
        <n v="29840"/>
        <n v="56238"/>
        <n v="63888"/>
        <n v="14611"/>
        <n v="90186"/>
        <n v="71116"/>
        <n v="60683"/>
        <n v="70146"/>
        <n v="16164"/>
        <n v="23301"/>
        <n v="71720"/>
        <n v="12651"/>
        <n v="14255"/>
        <n v="88420"/>
        <n v="90923"/>
        <n v="27393"/>
        <n v="92570"/>
        <n v="52455"/>
        <n v="23800"/>
        <n v="81977"/>
        <n v="95064"/>
        <n v="55438"/>
        <n v="35555"/>
        <n v="60254"/>
        <n v="74267"/>
        <n v="24548"/>
        <n v="17885"/>
        <n v="89969"/>
        <n v="71235"/>
        <n v="90521"/>
        <n v="92878"/>
        <n v="54284"/>
        <n v="95258"/>
        <n v="99460"/>
        <n v="91531"/>
        <n v="48847"/>
        <n v="26660"/>
        <n v="60809"/>
        <n v="48509"/>
        <n v="99260"/>
        <n v="25932"/>
        <n v="78027"/>
        <n v="34789"/>
        <n v="15004"/>
        <n v="61383"/>
        <n v="68271"/>
        <n v="58703"/>
        <n v="34966"/>
        <n v="69699"/>
        <n v="56734"/>
        <n v="92839"/>
        <n v="19874"/>
        <n v="15851"/>
        <n v="15240"/>
        <n v="73722"/>
        <n v="43473"/>
        <n v="13493"/>
        <n v="78165"/>
        <n v="97360"/>
        <n v="84613"/>
        <n v="84946"/>
        <n v="38308"/>
        <n v="40101"/>
        <n v="22252"/>
        <n v="92238"/>
        <n v="75852"/>
        <n v="78643"/>
        <n v="65064"/>
        <n v="76467"/>
        <n v="50017"/>
        <n v="24869"/>
        <n v="29095"/>
        <n v="65832"/>
        <n v="84188"/>
        <n v="65319"/>
        <n v="21014"/>
        <n v="23731"/>
        <n v="64478"/>
        <n v="18247"/>
        <n v="23003"/>
        <n v="64416"/>
        <n v="30467"/>
        <n v="14024"/>
        <n v="68552"/>
        <n v="66503"/>
        <n v="99970"/>
        <n v="64659"/>
        <n v="13949"/>
        <n v="75093"/>
        <n v="52532"/>
        <n v="43106"/>
        <n v="20294"/>
        <n v="56203"/>
        <n v="19218"/>
        <n v="25909"/>
        <n v="57088"/>
        <n v="13850"/>
        <n v="55278"/>
        <n v="55597"/>
        <n v="33318"/>
        <n v="11306"/>
        <n v="40211"/>
        <n v="57946"/>
        <n v="19242"/>
        <n v="88196"/>
        <n v="28781"/>
        <n v="37260"/>
        <n v="10423"/>
        <n v="36842"/>
        <n v="96378"/>
        <n v="98310"/>
        <n v="26146"/>
        <n v="10941"/>
        <n v="48438"/>
        <n v="58382"/>
        <n v="99001"/>
        <n v="99002"/>
        <n v="99003"/>
        <n v="99004"/>
        <n v="99005"/>
        <n v="99006"/>
        <n v="99007"/>
        <n v="99008"/>
        <n v="99009"/>
        <n v="99010"/>
        <n v="99011"/>
        <n v="99012"/>
        <n v="99013"/>
        <n v="99014"/>
        <n v="99015"/>
        <n v="99016"/>
        <n v="99017"/>
        <n v="99018"/>
        <n v="99019"/>
        <n v="99020"/>
        <n v="99021"/>
      </sharedItems>
    </cacheField>
    <cacheField name="Name" numFmtId="0">
      <sharedItems count="320">
        <s v="Tasha Hall"/>
        <s v="Jesse Woods"/>
        <s v="Deanna Johnson"/>
        <s v="George Woodward"/>
        <s v="Shawn Tran"/>
        <s v="Kevin Miller"/>
        <s v="Elizabeth Bennett"/>
        <s v="Calvin Walker"/>
        <s v="Cynthia White"/>
        <s v="Matthew Callahan"/>
        <s v="Jennifer Park"/>
        <s v="Edwin Butler"/>
        <s v="Leslie Evans"/>
        <s v="David Chen"/>
        <s v="Kendra Bennett"/>
        <s v="Victor Valenzuela"/>
        <s v="Jacob Farley"/>
        <s v="Cody Rodriguez"/>
        <s v="Larry Moore"/>
        <s v="Tanya Lopez"/>
        <s v="Christopher Chung"/>
        <s v="Joseph Kelly"/>
        <s v="Angelica Fischer"/>
        <s v="Ronald Cole"/>
        <s v="Daniel Wilson"/>
        <s v="Elizabeth Lynch"/>
        <s v="Paul Davis"/>
        <s v="Joshua Sullivan"/>
        <s v="Devin Barnett"/>
        <s v="James Zamora"/>
        <s v="Jill Francis"/>
        <s v="Seth Chambers"/>
        <s v="Bradley Jones"/>
        <s v="Joseph Wilson"/>
        <s v="Stephanie Gill"/>
        <s v="Scott Campbell"/>
        <s v="Joseph Clark"/>
        <s v="Tyler Stephens"/>
        <s v="Sue Ramirez"/>
        <s v="Keith Taylor"/>
        <s v="Bryan Morales"/>
        <s v="Justin Evans"/>
        <s v="Natalie Robinson"/>
        <s v="Jonathan Vasquez"/>
        <s v="Charles Simpson"/>
        <s v="Cindy Kelly"/>
        <s v="Willie Mathis"/>
        <s v="Melissa Miller"/>
        <s v="Tammy Foster"/>
        <s v="Brian Smith"/>
        <s v="Martin Carter"/>
        <s v="Brenda Berry"/>
        <s v="Jeffrey Moran"/>
        <s v="Gary Wong"/>
        <s v="Brittany Fitzpatrick"/>
        <s v="Eugene Clark"/>
        <s v="Gregory Lucero"/>
        <s v="John Blair"/>
        <s v="Jessica Harris"/>
        <s v="Susan Johnson"/>
        <s v="Shelby Cox"/>
        <s v="Megan Hall"/>
        <s v="Brandon Melton"/>
        <s v="Patricia Andrade"/>
        <s v="Anthony Terry"/>
        <s v="Mariah Payne"/>
        <s v="Jessica Gibson"/>
        <s v="John Rogers"/>
        <s v="Anthony Bailey"/>
        <s v="Adam Brown"/>
        <s v="Daniel Franklin"/>
        <s v="Connie Lee"/>
        <s v="Lisa Miller"/>
        <s v="Joshua Barry"/>
        <s v="Joseph Lee"/>
        <s v="Sergio Reed"/>
        <s v="Danielle Daniel"/>
        <s v="Jose Cruz"/>
        <s v="David Torres"/>
        <s v="Alexandra Simpson"/>
        <s v="Thomas Jenkins"/>
        <s v="Jeremiah Miller II"/>
        <s v="Brittany Henson"/>
        <s v="Lonnie Meyers"/>
        <s v="Stacie Foster"/>
        <s v="Danielle Robinson"/>
        <s v="Diana Bell"/>
        <s v="Ashley Lam"/>
        <s v="Michelle Waters"/>
        <s v="Julia Walters"/>
        <s v="Alan Mendez"/>
        <s v="Carrie Perry"/>
        <s v="Shawn Osborn"/>
        <s v="Joseph Patterson"/>
        <s v="James Nelson"/>
        <s v="Krystal Hall"/>
        <s v="Kimberly Campbell"/>
        <s v="Stephanie Brown"/>
        <s v="Garrett Brooks"/>
        <s v="Mr. Chad Smith"/>
        <s v="Holly Walters"/>
        <s v="Sherri Moore"/>
        <s v="William Taylor"/>
        <s v="Thomas Crawford"/>
        <s v="Tracy Young"/>
        <s v="David Cruz"/>
        <s v="Brandi Jimenez"/>
        <s v="Lisa Johnson"/>
        <s v="Katherine Parker"/>
        <s v="Kristi Martin"/>
        <s v="Rhonda Mclaughlin"/>
        <s v="Michele Miller"/>
        <s v="James Lee"/>
        <s v="Eddie Acevedo"/>
        <s v="Ethan Burgess"/>
        <s v="Scott Barnett"/>
        <s v="Courtney Cooper"/>
        <s v="Alan Berry"/>
        <s v="Mark Gomez"/>
        <s v="Antonio Allen Jr."/>
        <s v="Erin Nicholson"/>
        <s v="Matthew Taylor"/>
        <s v="Joann Thomas"/>
        <s v="Matthew Chandler"/>
        <s v="Jennifer Smith"/>
        <s v="Kimberly Ballard"/>
        <s v="Olivia Cunningham"/>
        <s v="Troy Jackson"/>
        <s v="Lisa Stanley"/>
        <s v="Ronald Thompson"/>
        <s v="Tina Kemp"/>
        <s v="Sara Hoffman"/>
        <s v="Jessica Hancock"/>
        <s v="Mark Mckinney"/>
        <s v="Amanda Peterson"/>
        <s v="Jamie Garrett"/>
        <s v="Kathleen Howard"/>
        <s v="Judith Romero"/>
        <s v="Paul Morgan"/>
        <s v="Terry Smith"/>
        <s v="Donna Harrison"/>
        <s v="Joseph Arnold"/>
        <s v="Amanda Foster"/>
        <s v="Gregory Williams"/>
        <s v="Zachary King"/>
        <s v="Michele Hickman"/>
        <s v="Pamela Farmer"/>
        <s v="Ruben King"/>
        <s v="William Ballard"/>
        <s v="Dana Craig"/>
        <s v="Sheri Martin"/>
        <s v="Brittany Mathis"/>
        <s v="Lauren Williams"/>
        <s v="Gregory Carter"/>
        <s v="Johnny Powell"/>
        <s v="Christopher Kramer"/>
        <s v="Jessica Peterson"/>
        <s v="Nathan Browning"/>
        <s v="Mary Scott"/>
        <s v="Andrea Boyle"/>
        <s v="Ronald Moreno"/>
        <s v="Mark Riley"/>
        <s v="Lynn Daniels"/>
        <s v="Jeffrey Collins"/>
        <s v="Richard Weiss"/>
        <s v="David Rose"/>
        <s v="Gordon Thornton"/>
        <s v="Charles Smith"/>
        <s v="Rachel Miles"/>
        <s v="Janet Marshall"/>
        <s v="Thomas Fields"/>
        <s v="Paige Yoder"/>
        <s v="William Moore"/>
        <s v="Henry Graves"/>
        <s v="Nicolas Duncan"/>
        <s v="Cody Chang"/>
        <s v="Kenneth Young"/>
        <s v="Sharon Jacobson"/>
        <s v="Ashlee Lopez"/>
        <s v="Austin Simmons"/>
        <s v="Dillon Kim"/>
        <s v="Heather Murphy"/>
        <s v="Johnathan Farmer"/>
        <s v="James Graham"/>
        <s v="Megan Terry"/>
        <s v="Lauren Gomez"/>
        <s v="Kristy Ramirez"/>
        <s v="Jennifer Mccall"/>
        <s v="Brad Hancock"/>
        <s v="Benjamin Love"/>
        <s v="Kaitlin Edwards"/>
        <s v="Tiffany Johnson"/>
        <s v="Calvin Haney"/>
        <s v="Jennifer Thomas"/>
        <s v="Sean Dixon"/>
        <s v="Steven Lozano"/>
        <s v="Michelle Cummings"/>
        <s v="Kelly Colon"/>
        <s v="Melissa Hughes"/>
        <s v="Robert Hess"/>
        <s v="Christopher Baker"/>
        <s v="Erin Erickson"/>
        <s v="Kelly Bryant"/>
        <s v="Nicole Cole"/>
        <s v="Mark Thompson"/>
        <s v="Stephanie Stewart"/>
        <s v="Cheryl Gibbs"/>
        <s v="Robin Boyd"/>
        <s v="Susan Taylor"/>
        <s v="Amy Miller"/>
        <s v="April Hampton"/>
        <s v="Lawrence Hudson"/>
        <s v="James Cox"/>
        <s v="Mallory Taylor"/>
        <s v="Catherine Martinez"/>
        <s v="Lawrence Williams"/>
        <s v="Melissa Robles"/>
        <s v="Lindsay Bauer"/>
        <s v="Thomas Mcintosh"/>
        <s v="Jeremiah Munoz"/>
        <s v="Dawn Collins"/>
        <s v="Jody White"/>
        <s v="Dennis Avery"/>
        <s v="Brent Johnson"/>
        <s v="Jared Vaughn"/>
        <s v="Erica Gibbs"/>
        <s v="Melissa Alvarez"/>
        <s v="Kimberly Morales"/>
        <s v="Tammy Johnson"/>
        <s v="Sara Miller"/>
        <s v="Brett Donaldson"/>
        <s v="Jose Ballard"/>
        <s v="April Morgan"/>
        <s v="Melissa Martin"/>
        <s v="Caitlin Frazier"/>
        <s v="Taylor Murphy"/>
        <s v="Tyler Garrett"/>
        <s v="Darrell Reid"/>
        <s v="Vincent Bell"/>
        <s v="Jason Cox"/>
        <s v="Jasmine Townsend"/>
        <s v="Kevin Mcdaniel"/>
        <s v="Carolyn Hernandez"/>
        <s v="Frank Smith"/>
        <s v="Timothy Berry"/>
        <s v="Christian Buchanan"/>
        <s v="Jennifer Bradley"/>
        <s v="Michelle Nielsen"/>
        <s v="Daniel Morales"/>
        <s v="Keith Bell"/>
        <s v="Steven Sanchez"/>
        <s v="Thomas Allen"/>
        <s v="Benjamin King"/>
        <s v="Joseph Daniels"/>
        <s v="Penny Mcdowell"/>
        <s v="Levi Dillon"/>
        <s v="Mark Ferguson"/>
        <s v="Brianna Long"/>
        <s v="Monica Bray"/>
        <s v="Brian Murray"/>
        <s v="Christopher Wells"/>
        <s v="Thomas Hancock"/>
        <s v="Ashley Richardson"/>
        <s v="Hunter Kennedy"/>
        <s v="Amy Wiley"/>
        <s v="Nathaniel Nguyen"/>
        <s v="Andrew Arnold"/>
        <s v="Jason Brooks"/>
        <s v="Chad Rodriguez"/>
        <s v="Andre Ray"/>
        <s v="Martin Mann"/>
        <s v="Jeffery Barber"/>
        <s v="Christian Martin"/>
        <s v="Chad Snyder"/>
        <s v="Lisa Roberts"/>
        <s v="Melinda Lang"/>
        <s v="Sara Ayala"/>
        <s v="Christopher Burton"/>
        <s v="Kim Thomas"/>
        <s v="Patrick Peters"/>
        <s v="Thomas Gray"/>
        <s v="John Torres"/>
        <s v="Jared Davis"/>
        <s v="Brittany Silva"/>
        <s v="Veronica Keith"/>
        <s v="Richard Wolfe"/>
        <s v="Lindsey Palmer"/>
        <s v="Nicholas Jackson"/>
        <s v="Andrew Wilson"/>
        <s v="Nathan Flores"/>
        <s v="Jackie Horton"/>
        <s v="Robin Perez"/>
        <s v="Juan Kline"/>
        <s v="Katie Blackwell"/>
        <s v="Mason Jackson"/>
        <s v="Jennifer Guerrero"/>
        <s v="Deborah Matthews"/>
        <s v="Carolyn Alexander"/>
        <s v="James Lang"/>
        <s v="John Dove"/>
        <s v="Jane Smithers"/>
        <s v="Alice Johnson"/>
        <s v="Bob Brown"/>
        <s v="Charlie Davis"/>
        <s v="Dana Evans"/>
        <s v="Eve Wilson"/>
        <s v="Frank Harris"/>
        <s v="Grace Hall"/>
        <s v="Harry Clark"/>
        <s v="Irene Lewis"/>
        <s v="Jack Martinez"/>
        <s v="Karen White"/>
        <s v="Larry Young"/>
        <s v="Mary King"/>
        <s v="Nick Allen"/>
        <s v="Olivia Scott"/>
        <s v="Paul Turner"/>
        <s v="Quinn Parker"/>
        <s v="Rita Cooper"/>
        <s v="Stephen"/>
      </sharedItems>
    </cacheField>
    <cacheField name="Department" numFmtId="0">
      <sharedItems count="6">
        <s v="Operations"/>
        <s v="Finance"/>
        <s v="Sales"/>
        <s v="Marketing"/>
        <s v="HR"/>
        <s v="IT"/>
      </sharedItems>
    </cacheField>
    <cacheField name="Salary" numFmtId="0">
      <sharedItems containsSemiMixedTypes="0" containsString="0" containsNumber="1" minValue="30165.88" maxValue="150000"/>
    </cacheField>
    <cacheField name="Start Date" numFmtId="14">
      <sharedItems containsSemiMixedTypes="0" containsNonDate="0" containsDate="1" containsString="0" minDate="2014-06-01T00:00:00" maxDate="2024-08-17T00:00:00"/>
    </cacheField>
    <cacheField name="FTE" numFmtId="0">
      <sharedItems containsSemiMixedTypes="0" containsString="0" containsNumber="1" minValue="0.5" maxValue="2"/>
    </cacheField>
    <cacheField name="Employment type" numFmtId="0">
      <sharedItems count="3">
        <s v="Fixed Term"/>
        <s v="Permanent"/>
        <s v="Temporary"/>
      </sharedItems>
    </cacheField>
    <cacheField name="State" numFmtId="0">
      <sharedItems count="12">
        <s v="California"/>
        <s v="Texas"/>
        <s v="Washington"/>
        <s v="New York"/>
        <s v="Oregon"/>
        <s v="Nevada"/>
        <s v="Wisconsin"/>
        <s v="Illinois"/>
        <s v="Missouri"/>
        <s v="Colorado"/>
        <s v="Wyoming"/>
        <s v="Florida"/>
      </sharedItems>
    </cacheField>
  </cacheFields>
  <extLst>
    <ext xmlns:x14="http://schemas.microsoft.com/office/spreadsheetml/2009/9/main" uri="{725AE2AE-9491-48be-B2B4-4EB974FC3084}">
      <x14:pivotCacheDefinition pivotCacheId="1517120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s v="XEX"/>
    <x v="0"/>
    <x v="0"/>
    <x v="0"/>
    <n v="114865.23"/>
    <d v="2021-04-20T00:00:00"/>
    <n v="1"/>
    <x v="0"/>
    <x v="0"/>
  </r>
  <r>
    <s v="ARK"/>
    <x v="1"/>
    <x v="1"/>
    <x v="1"/>
    <n v="57252.44"/>
    <d v="2020-02-06T00:00:00"/>
    <n v="0.75"/>
    <x v="1"/>
    <x v="1"/>
  </r>
  <r>
    <s v="BKI"/>
    <x v="2"/>
    <x v="2"/>
    <x v="2"/>
    <n v="66726.59"/>
    <d v="2018-05-17T00:00:00"/>
    <n v="0.75"/>
    <x v="1"/>
    <x v="0"/>
  </r>
  <r>
    <s v="QGV"/>
    <x v="3"/>
    <x v="3"/>
    <x v="3"/>
    <n v="102903.38"/>
    <d v="2023-01-12T00:00:00"/>
    <n v="1"/>
    <x v="0"/>
    <x v="0"/>
  </r>
  <r>
    <s v="VWJ"/>
    <x v="4"/>
    <x v="4"/>
    <x v="2"/>
    <n v="35603.29"/>
    <d v="2022-02-27T00:00:00"/>
    <n v="1"/>
    <x v="1"/>
    <x v="0"/>
  </r>
  <r>
    <s v="EZC"/>
    <x v="5"/>
    <x v="5"/>
    <x v="3"/>
    <n v="87688.639999999999"/>
    <d v="2015-01-27T00:00:00"/>
    <n v="0.75"/>
    <x v="1"/>
    <x v="0"/>
  </r>
  <r>
    <s v="BKI"/>
    <x v="6"/>
    <x v="6"/>
    <x v="3"/>
    <n v="41458.870000000003"/>
    <d v="2022-07-29T00:00:00"/>
    <n v="0.5"/>
    <x v="0"/>
    <x v="0"/>
  </r>
  <r>
    <s v="QGV"/>
    <x v="7"/>
    <x v="7"/>
    <x v="4"/>
    <n v="55837.95"/>
    <d v="2016-02-21T00:00:00"/>
    <n v="0.75"/>
    <x v="1"/>
    <x v="0"/>
  </r>
  <r>
    <s v="ARK"/>
    <x v="8"/>
    <x v="8"/>
    <x v="4"/>
    <n v="104694.66"/>
    <d v="2018-12-24T00:00:00"/>
    <n v="1"/>
    <x v="1"/>
    <x v="0"/>
  </r>
  <r>
    <s v="ROG"/>
    <x v="9"/>
    <x v="9"/>
    <x v="2"/>
    <n v="34997.43"/>
    <d v="2023-01-16T00:00:00"/>
    <n v="1"/>
    <x v="2"/>
    <x v="0"/>
  </r>
  <r>
    <s v="VWJ"/>
    <x v="10"/>
    <x v="10"/>
    <x v="5"/>
    <n v="33234.050000000003"/>
    <d v="2022-10-01T00:00:00"/>
    <n v="0.5"/>
    <x v="1"/>
    <x v="0"/>
  </r>
  <r>
    <s v="SSV"/>
    <x v="11"/>
    <x v="11"/>
    <x v="5"/>
    <n v="67607.94"/>
    <d v="2023-10-12T00:00:00"/>
    <n v="0.5"/>
    <x v="1"/>
    <x v="1"/>
  </r>
  <r>
    <s v="ARK"/>
    <x v="12"/>
    <x v="12"/>
    <x v="2"/>
    <n v="74264.789999999994"/>
    <d v="2021-02-10T00:00:00"/>
    <n v="0.75"/>
    <x v="1"/>
    <x v="2"/>
  </r>
  <r>
    <s v="BKI"/>
    <x v="13"/>
    <x v="13"/>
    <x v="4"/>
    <n v="107699.27"/>
    <d v="2022-06-14T00:00:00"/>
    <n v="1"/>
    <x v="0"/>
    <x v="0"/>
  </r>
  <r>
    <s v="SSV"/>
    <x v="14"/>
    <x v="14"/>
    <x v="2"/>
    <n v="94546.99"/>
    <d v="2018-12-03T00:00:00"/>
    <n v="0.5"/>
    <x v="1"/>
    <x v="1"/>
  </r>
  <r>
    <s v="VWJ"/>
    <x v="15"/>
    <x v="15"/>
    <x v="1"/>
    <n v="90618.94"/>
    <d v="2017-06-27T00:00:00"/>
    <n v="0.5"/>
    <x v="1"/>
    <x v="0"/>
  </r>
  <r>
    <s v="ROG"/>
    <x v="16"/>
    <x v="16"/>
    <x v="3"/>
    <n v="43623.64"/>
    <d v="2018-04-26T00:00:00"/>
    <n v="1"/>
    <x v="1"/>
    <x v="2"/>
  </r>
  <r>
    <s v="QGV"/>
    <x v="17"/>
    <x v="17"/>
    <x v="0"/>
    <n v="118803.53"/>
    <d v="2023-08-12T00:00:00"/>
    <n v="1"/>
    <x v="0"/>
    <x v="0"/>
  </r>
  <r>
    <s v="HMN"/>
    <x v="18"/>
    <x v="18"/>
    <x v="4"/>
    <n v="67002.62"/>
    <d v="2020-08-09T00:00:00"/>
    <n v="0.75"/>
    <x v="1"/>
    <x v="0"/>
  </r>
  <r>
    <s v="SSV"/>
    <x v="19"/>
    <x v="19"/>
    <x v="0"/>
    <n v="85059.38"/>
    <d v="2017-02-14T00:00:00"/>
    <n v="1"/>
    <x v="1"/>
    <x v="0"/>
  </r>
  <r>
    <s v="QGV"/>
    <x v="20"/>
    <x v="20"/>
    <x v="1"/>
    <n v="64801.47"/>
    <d v="2019-07-22T00:00:00"/>
    <n v="0.5"/>
    <x v="1"/>
    <x v="0"/>
  </r>
  <r>
    <s v="SSV"/>
    <x v="21"/>
    <x v="21"/>
    <x v="4"/>
    <n v="34232.959999999999"/>
    <d v="2016-11-07T00:00:00"/>
    <n v="0.5"/>
    <x v="1"/>
    <x v="0"/>
  </r>
  <r>
    <s v="VWJ"/>
    <x v="22"/>
    <x v="22"/>
    <x v="2"/>
    <n v="72380.03"/>
    <d v="2022-03-08T00:00:00"/>
    <n v="1"/>
    <x v="0"/>
    <x v="0"/>
  </r>
  <r>
    <s v="EZC"/>
    <x v="23"/>
    <x v="23"/>
    <x v="0"/>
    <n v="43623.1"/>
    <d v="2015-07-31T00:00:00"/>
    <n v="1"/>
    <x v="1"/>
    <x v="0"/>
  </r>
  <r>
    <s v="BKI"/>
    <x v="24"/>
    <x v="24"/>
    <x v="2"/>
    <n v="32921.89"/>
    <d v="2015-07-29T00:00:00"/>
    <n v="0.5"/>
    <x v="1"/>
    <x v="0"/>
  </r>
  <r>
    <s v="ARK"/>
    <x v="25"/>
    <x v="25"/>
    <x v="5"/>
    <n v="85566.04"/>
    <d v="2022-07-17T00:00:00"/>
    <n v="1"/>
    <x v="1"/>
    <x v="0"/>
  </r>
  <r>
    <s v="EZC"/>
    <x v="26"/>
    <x v="26"/>
    <x v="4"/>
    <n v="86696.97"/>
    <d v="2021-02-05T00:00:00"/>
    <n v="1"/>
    <x v="1"/>
    <x v="1"/>
  </r>
  <r>
    <s v="SSV"/>
    <x v="27"/>
    <x v="27"/>
    <x v="1"/>
    <n v="39476.35"/>
    <d v="2024-01-15T00:00:00"/>
    <n v="0.5"/>
    <x v="0"/>
    <x v="3"/>
  </r>
  <r>
    <s v="SSV"/>
    <x v="28"/>
    <x v="28"/>
    <x v="4"/>
    <n v="79422.94"/>
    <d v="2021-05-20T00:00:00"/>
    <n v="0.75"/>
    <x v="1"/>
    <x v="4"/>
  </r>
  <r>
    <s v="EZC"/>
    <x v="29"/>
    <x v="29"/>
    <x v="0"/>
    <n v="61200.12"/>
    <d v="2023-11-14T00:00:00"/>
    <n v="0.75"/>
    <x v="0"/>
    <x v="1"/>
  </r>
  <r>
    <s v="SSV"/>
    <x v="30"/>
    <x v="30"/>
    <x v="4"/>
    <n v="64507.27"/>
    <d v="2015-12-24T00:00:00"/>
    <n v="1"/>
    <x v="1"/>
    <x v="3"/>
  </r>
  <r>
    <s v="SSV"/>
    <x v="31"/>
    <x v="31"/>
    <x v="0"/>
    <n v="99877.79"/>
    <d v="2018-12-04T00:00:00"/>
    <n v="0.5"/>
    <x v="1"/>
    <x v="0"/>
  </r>
  <r>
    <s v="EZC"/>
    <x v="32"/>
    <x v="32"/>
    <x v="3"/>
    <n v="74128.77"/>
    <d v="2022-08-12T00:00:00"/>
    <n v="0.5"/>
    <x v="0"/>
    <x v="0"/>
  </r>
  <r>
    <s v="ROG"/>
    <x v="33"/>
    <x v="33"/>
    <x v="3"/>
    <n v="109314.9"/>
    <d v="2018-04-25T00:00:00"/>
    <n v="1"/>
    <x v="1"/>
    <x v="0"/>
  </r>
  <r>
    <s v="ARK"/>
    <x v="34"/>
    <x v="34"/>
    <x v="4"/>
    <n v="84910.78"/>
    <d v="2016-04-17T00:00:00"/>
    <n v="1"/>
    <x v="1"/>
    <x v="0"/>
  </r>
  <r>
    <s v="SSV"/>
    <x v="35"/>
    <x v="35"/>
    <x v="1"/>
    <n v="72046.960000000006"/>
    <d v="2019-06-16T00:00:00"/>
    <n v="0.75"/>
    <x v="1"/>
    <x v="0"/>
  </r>
  <r>
    <s v="VWJ"/>
    <x v="36"/>
    <x v="36"/>
    <x v="4"/>
    <n v="86908.14"/>
    <d v="2016-10-22T00:00:00"/>
    <n v="0.5"/>
    <x v="1"/>
    <x v="0"/>
  </r>
  <r>
    <s v="ARK"/>
    <x v="37"/>
    <x v="37"/>
    <x v="3"/>
    <n v="60407.88"/>
    <d v="2020-07-10T00:00:00"/>
    <n v="1"/>
    <x v="1"/>
    <x v="0"/>
  </r>
  <r>
    <s v="BKI"/>
    <x v="38"/>
    <x v="38"/>
    <x v="0"/>
    <n v="41189.14"/>
    <d v="2016-01-05T00:00:00"/>
    <n v="0.75"/>
    <x v="1"/>
    <x v="0"/>
  </r>
  <r>
    <s v="ARK"/>
    <x v="39"/>
    <x v="39"/>
    <x v="1"/>
    <n v="91427.67"/>
    <d v="2016-10-07T00:00:00"/>
    <n v="0.75"/>
    <x v="1"/>
    <x v="0"/>
  </r>
  <r>
    <s v="HMN"/>
    <x v="40"/>
    <x v="40"/>
    <x v="5"/>
    <n v="85983.37"/>
    <d v="2015-05-17T00:00:00"/>
    <n v="1"/>
    <x v="1"/>
    <x v="0"/>
  </r>
  <r>
    <s v="QGV"/>
    <x v="41"/>
    <x v="41"/>
    <x v="5"/>
    <n v="100970.98"/>
    <d v="2016-09-26T00:00:00"/>
    <n v="1"/>
    <x v="1"/>
    <x v="0"/>
  </r>
  <r>
    <s v="BKI"/>
    <x v="42"/>
    <x v="42"/>
    <x v="0"/>
    <n v="41439.82"/>
    <d v="2024-05-21T00:00:00"/>
    <n v="1"/>
    <x v="2"/>
    <x v="0"/>
  </r>
  <r>
    <s v="ROG"/>
    <x v="43"/>
    <x v="43"/>
    <x v="1"/>
    <n v="112060.5"/>
    <d v="2023-11-30T00:00:00"/>
    <n v="1"/>
    <x v="0"/>
    <x v="5"/>
  </r>
  <r>
    <s v="ROG"/>
    <x v="44"/>
    <x v="44"/>
    <x v="4"/>
    <n v="101940.71"/>
    <d v="2017-10-14T00:00:00"/>
    <n v="1"/>
    <x v="1"/>
    <x v="2"/>
  </r>
  <r>
    <s v="QGV"/>
    <x v="45"/>
    <x v="45"/>
    <x v="2"/>
    <n v="112519.87"/>
    <d v="2014-07-12T00:00:00"/>
    <n v="1"/>
    <x v="1"/>
    <x v="1"/>
  </r>
  <r>
    <s v="EZC"/>
    <x v="46"/>
    <x v="46"/>
    <x v="2"/>
    <n v="108528.12"/>
    <d v="2014-12-21T00:00:00"/>
    <n v="1"/>
    <x v="1"/>
    <x v="0"/>
  </r>
  <r>
    <s v="XEX"/>
    <x v="47"/>
    <x v="47"/>
    <x v="0"/>
    <n v="91290.58"/>
    <d v="2021-04-15T00:00:00"/>
    <n v="1"/>
    <x v="1"/>
    <x v="2"/>
  </r>
  <r>
    <s v="EZC"/>
    <x v="48"/>
    <x v="48"/>
    <x v="4"/>
    <n v="102922.58"/>
    <d v="2023-11-28T00:00:00"/>
    <n v="1"/>
    <x v="0"/>
    <x v="2"/>
  </r>
  <r>
    <s v="BKI"/>
    <x v="49"/>
    <x v="49"/>
    <x v="4"/>
    <n v="76710.66"/>
    <d v="2022-10-01T00:00:00"/>
    <n v="0.75"/>
    <x v="1"/>
    <x v="0"/>
  </r>
  <r>
    <s v="SSV"/>
    <x v="50"/>
    <x v="50"/>
    <x v="5"/>
    <n v="100694.02"/>
    <d v="2016-03-25T00:00:00"/>
    <n v="1"/>
    <x v="1"/>
    <x v="2"/>
  </r>
  <r>
    <s v="QGV"/>
    <x v="51"/>
    <x v="51"/>
    <x v="2"/>
    <n v="47021.47"/>
    <d v="2022-06-15T00:00:00"/>
    <n v="1"/>
    <x v="0"/>
    <x v="1"/>
  </r>
  <r>
    <s v="QGV"/>
    <x v="52"/>
    <x v="52"/>
    <x v="4"/>
    <n v="100390.27"/>
    <d v="2023-12-05T00:00:00"/>
    <n v="1"/>
    <x v="0"/>
    <x v="2"/>
  </r>
  <r>
    <s v="QGV"/>
    <x v="53"/>
    <x v="53"/>
    <x v="5"/>
    <n v="70012.160000000003"/>
    <d v="2020-04-25T00:00:00"/>
    <n v="1"/>
    <x v="1"/>
    <x v="0"/>
  </r>
  <r>
    <s v="HMN"/>
    <x v="54"/>
    <x v="54"/>
    <x v="1"/>
    <n v="98095.46"/>
    <d v="2020-03-30T00:00:00"/>
    <n v="1"/>
    <x v="1"/>
    <x v="0"/>
  </r>
  <r>
    <s v="EZC"/>
    <x v="55"/>
    <x v="55"/>
    <x v="0"/>
    <n v="70992.320000000007"/>
    <d v="2016-01-26T00:00:00"/>
    <n v="1"/>
    <x v="1"/>
    <x v="0"/>
  </r>
  <r>
    <s v="XEX"/>
    <x v="56"/>
    <x v="56"/>
    <x v="3"/>
    <n v="101060.29"/>
    <d v="2014-06-30T00:00:00"/>
    <n v="1"/>
    <x v="1"/>
    <x v="0"/>
  </r>
  <r>
    <s v="SFB"/>
    <x v="57"/>
    <x v="57"/>
    <x v="0"/>
    <n v="36780.559999999998"/>
    <d v="2018-07-09T00:00:00"/>
    <n v="0.5"/>
    <x v="1"/>
    <x v="0"/>
  </r>
  <r>
    <s v="XEX"/>
    <x v="58"/>
    <x v="58"/>
    <x v="0"/>
    <n v="34017.68"/>
    <d v="2018-04-07T00:00:00"/>
    <n v="1"/>
    <x v="1"/>
    <x v="0"/>
  </r>
  <r>
    <s v="ROG"/>
    <x v="59"/>
    <x v="59"/>
    <x v="5"/>
    <n v="114086.06"/>
    <d v="2022-11-16T00:00:00"/>
    <n v="1"/>
    <x v="0"/>
    <x v="0"/>
  </r>
  <r>
    <s v="ARK"/>
    <x v="60"/>
    <x v="60"/>
    <x v="4"/>
    <n v="73754.86"/>
    <d v="2019-09-16T00:00:00"/>
    <n v="1"/>
    <x v="1"/>
    <x v="0"/>
  </r>
  <r>
    <s v="XEX"/>
    <x v="61"/>
    <x v="61"/>
    <x v="1"/>
    <n v="111096.43"/>
    <d v="2019-01-29T00:00:00"/>
    <n v="1"/>
    <x v="1"/>
    <x v="0"/>
  </r>
  <r>
    <s v="SFB"/>
    <x v="62"/>
    <x v="62"/>
    <x v="5"/>
    <n v="115030.49"/>
    <d v="2018-03-25T00:00:00"/>
    <n v="1"/>
    <x v="1"/>
    <x v="0"/>
  </r>
  <r>
    <s v="VWJ"/>
    <x v="63"/>
    <x v="63"/>
    <x v="4"/>
    <n v="89986"/>
    <d v="2014-07-24T00:00:00"/>
    <n v="0.75"/>
    <x v="1"/>
    <x v="1"/>
  </r>
  <r>
    <s v="SFB"/>
    <x v="64"/>
    <x v="64"/>
    <x v="4"/>
    <n v="81461.710000000006"/>
    <d v="2022-11-03T00:00:00"/>
    <n v="0.75"/>
    <x v="0"/>
    <x v="2"/>
  </r>
  <r>
    <s v="ROG"/>
    <x v="65"/>
    <x v="65"/>
    <x v="4"/>
    <n v="49438.14"/>
    <d v="2020-06-12T00:00:00"/>
    <n v="0.5"/>
    <x v="1"/>
    <x v="0"/>
  </r>
  <r>
    <s v="BKI"/>
    <x v="66"/>
    <x v="66"/>
    <x v="1"/>
    <n v="38412.86"/>
    <d v="2023-01-25T00:00:00"/>
    <n v="0.5"/>
    <x v="2"/>
    <x v="5"/>
  </r>
  <r>
    <s v="XEX"/>
    <x v="67"/>
    <x v="67"/>
    <x v="0"/>
    <n v="103745.48"/>
    <d v="2020-03-17T00:00:00"/>
    <n v="1"/>
    <x v="1"/>
    <x v="1"/>
  </r>
  <r>
    <s v="SSV"/>
    <x v="68"/>
    <x v="68"/>
    <x v="5"/>
    <n v="109989.49"/>
    <d v="2015-12-20T00:00:00"/>
    <n v="1"/>
    <x v="1"/>
    <x v="0"/>
  </r>
  <r>
    <s v="SSV"/>
    <x v="69"/>
    <x v="69"/>
    <x v="3"/>
    <n v="100145.61"/>
    <d v="2015-09-23T00:00:00"/>
    <n v="1"/>
    <x v="1"/>
    <x v="0"/>
  </r>
  <r>
    <s v="SSV"/>
    <x v="70"/>
    <x v="70"/>
    <x v="5"/>
    <n v="92865.22"/>
    <d v="2019-08-05T00:00:00"/>
    <n v="0.5"/>
    <x v="1"/>
    <x v="0"/>
  </r>
  <r>
    <s v="SFB"/>
    <x v="71"/>
    <x v="71"/>
    <x v="5"/>
    <n v="67810"/>
    <d v="2024-03-02T00:00:00"/>
    <n v="0.75"/>
    <x v="1"/>
    <x v="0"/>
  </r>
  <r>
    <s v="XEX"/>
    <x v="72"/>
    <x v="72"/>
    <x v="3"/>
    <n v="57478.04"/>
    <d v="2021-08-05T00:00:00"/>
    <n v="0.75"/>
    <x v="0"/>
    <x v="0"/>
  </r>
  <r>
    <s v="QGV"/>
    <x v="73"/>
    <x v="73"/>
    <x v="4"/>
    <n v="40210.04"/>
    <d v="2018-04-04T00:00:00"/>
    <n v="1"/>
    <x v="1"/>
    <x v="0"/>
  </r>
  <r>
    <s v="SFB"/>
    <x v="74"/>
    <x v="74"/>
    <x v="0"/>
    <n v="68337.320000000007"/>
    <d v="2020-08-29T00:00:00"/>
    <n v="0.75"/>
    <x v="1"/>
    <x v="0"/>
  </r>
  <r>
    <s v="EZC"/>
    <x v="75"/>
    <x v="75"/>
    <x v="0"/>
    <n v="80941.17"/>
    <d v="2020-11-22T00:00:00"/>
    <n v="0.75"/>
    <x v="1"/>
    <x v="0"/>
  </r>
  <r>
    <s v="SSV"/>
    <x v="76"/>
    <x v="76"/>
    <x v="3"/>
    <n v="113059.25"/>
    <d v="2016-11-18T00:00:00"/>
    <n v="1"/>
    <x v="1"/>
    <x v="0"/>
  </r>
  <r>
    <s v="QGV"/>
    <x v="77"/>
    <x v="77"/>
    <x v="0"/>
    <n v="114217.93"/>
    <d v="2018-05-08T00:00:00"/>
    <n v="1"/>
    <x v="1"/>
    <x v="0"/>
  </r>
  <r>
    <s v="BKI"/>
    <x v="78"/>
    <x v="78"/>
    <x v="2"/>
    <n v="67407.710000000006"/>
    <d v="2019-04-22T00:00:00"/>
    <n v="0.5"/>
    <x v="1"/>
    <x v="0"/>
  </r>
  <r>
    <s v="ARK"/>
    <x v="79"/>
    <x v="79"/>
    <x v="0"/>
    <n v="38928.99"/>
    <d v="2017-10-19T00:00:00"/>
    <n v="0.75"/>
    <x v="1"/>
    <x v="0"/>
  </r>
  <r>
    <s v="HMN"/>
    <x v="80"/>
    <x v="80"/>
    <x v="0"/>
    <n v="99643.69"/>
    <d v="2022-08-05T00:00:00"/>
    <n v="0.5"/>
    <x v="1"/>
    <x v="5"/>
  </r>
  <r>
    <s v="SFB"/>
    <x v="81"/>
    <x v="81"/>
    <x v="2"/>
    <n v="96085.14"/>
    <d v="2020-07-08T00:00:00"/>
    <n v="1"/>
    <x v="1"/>
    <x v="4"/>
  </r>
  <r>
    <s v="VWJ"/>
    <x v="82"/>
    <x v="82"/>
    <x v="0"/>
    <n v="32763.08"/>
    <d v="2019-03-22T00:00:00"/>
    <n v="0.75"/>
    <x v="1"/>
    <x v="0"/>
  </r>
  <r>
    <s v="QGV"/>
    <x v="83"/>
    <x v="83"/>
    <x v="2"/>
    <n v="70204.67"/>
    <d v="2020-12-12T00:00:00"/>
    <n v="0.75"/>
    <x v="1"/>
    <x v="0"/>
  </r>
  <r>
    <s v="SFB"/>
    <x v="84"/>
    <x v="84"/>
    <x v="5"/>
    <n v="91777.63"/>
    <d v="2016-08-10T00:00:00"/>
    <n v="0.75"/>
    <x v="1"/>
    <x v="0"/>
  </r>
  <r>
    <s v="ARK"/>
    <x v="85"/>
    <x v="85"/>
    <x v="3"/>
    <n v="32712.080000000002"/>
    <d v="2016-06-10T00:00:00"/>
    <n v="1"/>
    <x v="1"/>
    <x v="0"/>
  </r>
  <r>
    <s v="ROG"/>
    <x v="86"/>
    <x v="86"/>
    <x v="1"/>
    <n v="112735.41"/>
    <d v="2021-03-26T00:00:00"/>
    <n v="1"/>
    <x v="0"/>
    <x v="0"/>
  </r>
  <r>
    <s v="EZC"/>
    <x v="87"/>
    <x v="87"/>
    <x v="1"/>
    <n v="116601.82"/>
    <d v="2020-06-13T00:00:00"/>
    <n v="1"/>
    <x v="1"/>
    <x v="0"/>
  </r>
  <r>
    <s v="VWJ"/>
    <x v="88"/>
    <x v="88"/>
    <x v="2"/>
    <n v="95028.85"/>
    <d v="2022-12-02T00:00:00"/>
    <n v="0.75"/>
    <x v="0"/>
    <x v="0"/>
  </r>
  <r>
    <s v="VWJ"/>
    <x v="89"/>
    <x v="89"/>
    <x v="3"/>
    <n v="37068.47"/>
    <d v="2022-06-03T00:00:00"/>
    <n v="1"/>
    <x v="1"/>
    <x v="0"/>
  </r>
  <r>
    <s v="ARK"/>
    <x v="90"/>
    <x v="90"/>
    <x v="5"/>
    <n v="36329.65"/>
    <d v="2018-04-19T00:00:00"/>
    <n v="0.5"/>
    <x v="1"/>
    <x v="0"/>
  </r>
  <r>
    <s v="SSV"/>
    <x v="91"/>
    <x v="91"/>
    <x v="4"/>
    <n v="62332.800000000003"/>
    <d v="2020-10-08T00:00:00"/>
    <n v="0.5"/>
    <x v="1"/>
    <x v="3"/>
  </r>
  <r>
    <s v="ARK"/>
    <x v="92"/>
    <x v="92"/>
    <x v="1"/>
    <n v="32643.98"/>
    <d v="2020-07-06T00:00:00"/>
    <n v="1"/>
    <x v="1"/>
    <x v="0"/>
  </r>
  <r>
    <s v="ARK"/>
    <x v="93"/>
    <x v="93"/>
    <x v="1"/>
    <n v="61309"/>
    <d v="2021-10-03T00:00:00"/>
    <n v="0.5"/>
    <x v="1"/>
    <x v="0"/>
  </r>
  <r>
    <s v="SFB"/>
    <x v="94"/>
    <x v="94"/>
    <x v="5"/>
    <n v="30896.78"/>
    <d v="2019-02-16T00:00:00"/>
    <n v="1"/>
    <x v="1"/>
    <x v="0"/>
  </r>
  <r>
    <s v="VWJ"/>
    <x v="95"/>
    <x v="95"/>
    <x v="5"/>
    <n v="117689.12"/>
    <d v="2020-07-09T00:00:00"/>
    <n v="1"/>
    <x v="1"/>
    <x v="0"/>
  </r>
  <r>
    <s v="VWJ"/>
    <x v="96"/>
    <x v="96"/>
    <x v="5"/>
    <n v="103710.6"/>
    <d v="2021-03-24T00:00:00"/>
    <n v="1"/>
    <x v="1"/>
    <x v="0"/>
  </r>
  <r>
    <s v="HMN"/>
    <x v="97"/>
    <x v="97"/>
    <x v="5"/>
    <n v="36346.589999999997"/>
    <d v="2019-03-24T00:00:00"/>
    <n v="0.5"/>
    <x v="1"/>
    <x v="0"/>
  </r>
  <r>
    <s v="ARK"/>
    <x v="98"/>
    <x v="98"/>
    <x v="0"/>
    <n v="110409.16"/>
    <d v="2016-03-14T00:00:00"/>
    <n v="1"/>
    <x v="1"/>
    <x v="0"/>
  </r>
  <r>
    <s v="QGV"/>
    <x v="99"/>
    <x v="99"/>
    <x v="4"/>
    <n v="48718.02"/>
    <d v="2022-07-27T00:00:00"/>
    <n v="0.5"/>
    <x v="0"/>
    <x v="0"/>
  </r>
  <r>
    <s v="SFB"/>
    <x v="100"/>
    <x v="100"/>
    <x v="5"/>
    <n v="48431.17"/>
    <d v="2019-05-14T00:00:00"/>
    <n v="0.75"/>
    <x v="1"/>
    <x v="0"/>
  </r>
  <r>
    <s v="VWJ"/>
    <x v="101"/>
    <x v="101"/>
    <x v="3"/>
    <n v="90638.32"/>
    <d v="2016-06-17T00:00:00"/>
    <n v="1"/>
    <x v="1"/>
    <x v="0"/>
  </r>
  <r>
    <s v="VWJ"/>
    <x v="102"/>
    <x v="102"/>
    <x v="4"/>
    <n v="114443.6"/>
    <d v="2021-12-30T00:00:00"/>
    <n v="1"/>
    <x v="1"/>
    <x v="0"/>
  </r>
  <r>
    <s v="XEX"/>
    <x v="103"/>
    <x v="103"/>
    <x v="4"/>
    <n v="41086.93"/>
    <d v="2017-01-12T00:00:00"/>
    <n v="1"/>
    <x v="1"/>
    <x v="0"/>
  </r>
  <r>
    <s v="ARK"/>
    <x v="104"/>
    <x v="104"/>
    <x v="5"/>
    <n v="30646.61"/>
    <d v="2020-04-05T00:00:00"/>
    <n v="1"/>
    <x v="1"/>
    <x v="0"/>
  </r>
  <r>
    <s v="BKI"/>
    <x v="105"/>
    <x v="105"/>
    <x v="1"/>
    <n v="63221.71"/>
    <d v="2018-07-21T00:00:00"/>
    <n v="1"/>
    <x v="1"/>
    <x v="0"/>
  </r>
  <r>
    <s v="VWJ"/>
    <x v="106"/>
    <x v="106"/>
    <x v="1"/>
    <n v="32218.5"/>
    <d v="2017-08-03T00:00:00"/>
    <n v="0.75"/>
    <x v="1"/>
    <x v="0"/>
  </r>
  <r>
    <s v="VWJ"/>
    <x v="107"/>
    <x v="107"/>
    <x v="3"/>
    <n v="84436.34"/>
    <d v="2020-02-28T00:00:00"/>
    <n v="0.5"/>
    <x v="1"/>
    <x v="1"/>
  </r>
  <r>
    <s v="SSV"/>
    <x v="108"/>
    <x v="108"/>
    <x v="5"/>
    <n v="107325.8"/>
    <d v="2022-11-26T00:00:00"/>
    <n v="1"/>
    <x v="0"/>
    <x v="3"/>
  </r>
  <r>
    <s v="EZC"/>
    <x v="109"/>
    <x v="109"/>
    <x v="5"/>
    <n v="46829.25"/>
    <d v="2018-04-20T00:00:00"/>
    <n v="1"/>
    <x v="1"/>
    <x v="6"/>
  </r>
  <r>
    <s v="HMN"/>
    <x v="110"/>
    <x v="110"/>
    <x v="2"/>
    <n v="40115.19"/>
    <d v="2016-04-12T00:00:00"/>
    <n v="0.5"/>
    <x v="1"/>
    <x v="3"/>
  </r>
  <r>
    <s v="EZC"/>
    <x v="111"/>
    <x v="111"/>
    <x v="3"/>
    <n v="61000.46"/>
    <d v="2020-12-09T00:00:00"/>
    <n v="1"/>
    <x v="1"/>
    <x v="3"/>
  </r>
  <r>
    <s v="ARK"/>
    <x v="112"/>
    <x v="112"/>
    <x v="1"/>
    <n v="116325.44"/>
    <d v="2021-01-08T00:00:00"/>
    <n v="1"/>
    <x v="0"/>
    <x v="3"/>
  </r>
  <r>
    <s v="XEX"/>
    <x v="113"/>
    <x v="113"/>
    <x v="5"/>
    <n v="41714.19"/>
    <d v="2022-04-26T00:00:00"/>
    <n v="0.5"/>
    <x v="0"/>
    <x v="0"/>
  </r>
  <r>
    <s v="ARK"/>
    <x v="114"/>
    <x v="114"/>
    <x v="4"/>
    <n v="116986.73"/>
    <d v="2023-02-22T00:00:00"/>
    <n v="1"/>
    <x v="0"/>
    <x v="0"/>
  </r>
  <r>
    <s v="SFB"/>
    <x v="115"/>
    <x v="115"/>
    <x v="2"/>
    <n v="62601.59"/>
    <d v="2022-04-07T00:00:00"/>
    <n v="1"/>
    <x v="0"/>
    <x v="0"/>
  </r>
  <r>
    <s v="QGV"/>
    <x v="116"/>
    <x v="116"/>
    <x v="0"/>
    <n v="72603.34"/>
    <d v="2024-01-14T00:00:00"/>
    <n v="0.5"/>
    <x v="0"/>
    <x v="0"/>
  </r>
  <r>
    <s v="XEX"/>
    <x v="117"/>
    <x v="117"/>
    <x v="1"/>
    <n v="56336.88"/>
    <d v="2018-03-01T00:00:00"/>
    <n v="0.5"/>
    <x v="1"/>
    <x v="0"/>
  </r>
  <r>
    <s v="BKI"/>
    <x v="118"/>
    <x v="118"/>
    <x v="4"/>
    <n v="114341.42"/>
    <d v="2021-03-15T00:00:00"/>
    <n v="1"/>
    <x v="0"/>
    <x v="0"/>
  </r>
  <r>
    <s v="ROG"/>
    <x v="119"/>
    <x v="119"/>
    <x v="5"/>
    <n v="116233.31"/>
    <d v="2022-12-14T00:00:00"/>
    <n v="1"/>
    <x v="0"/>
    <x v="0"/>
  </r>
  <r>
    <s v="BKI"/>
    <x v="120"/>
    <x v="120"/>
    <x v="1"/>
    <n v="87232.41"/>
    <d v="2019-09-14T00:00:00"/>
    <n v="0.5"/>
    <x v="1"/>
    <x v="0"/>
  </r>
  <r>
    <s v="HMN"/>
    <x v="121"/>
    <x v="121"/>
    <x v="3"/>
    <n v="46564.1"/>
    <d v="2022-09-09T00:00:00"/>
    <n v="0.75"/>
    <x v="0"/>
    <x v="0"/>
  </r>
  <r>
    <s v="ARK"/>
    <x v="122"/>
    <x v="122"/>
    <x v="0"/>
    <n v="119365.66"/>
    <d v="2018-05-14T00:00:00"/>
    <n v="1"/>
    <x v="1"/>
    <x v="0"/>
  </r>
  <r>
    <s v="QGV"/>
    <x v="123"/>
    <x v="123"/>
    <x v="4"/>
    <n v="39232.239999999998"/>
    <d v="2019-10-05T00:00:00"/>
    <n v="0.75"/>
    <x v="1"/>
    <x v="0"/>
  </r>
  <r>
    <s v="HMN"/>
    <x v="124"/>
    <x v="124"/>
    <x v="5"/>
    <n v="82276.44"/>
    <d v="2023-03-22T00:00:00"/>
    <n v="0.75"/>
    <x v="0"/>
    <x v="0"/>
  </r>
  <r>
    <s v="EZC"/>
    <x v="125"/>
    <x v="125"/>
    <x v="2"/>
    <n v="44076.28"/>
    <d v="2014-06-09T00:00:00"/>
    <n v="1"/>
    <x v="1"/>
    <x v="6"/>
  </r>
  <r>
    <s v="XEX"/>
    <x v="126"/>
    <x v="126"/>
    <x v="5"/>
    <n v="110790.78"/>
    <d v="2015-12-22T00:00:00"/>
    <n v="1"/>
    <x v="1"/>
    <x v="3"/>
  </r>
  <r>
    <s v="BKI"/>
    <x v="127"/>
    <x v="127"/>
    <x v="5"/>
    <n v="115111.06"/>
    <d v="2022-06-08T00:00:00"/>
    <n v="1"/>
    <x v="0"/>
    <x v="0"/>
  </r>
  <r>
    <s v="SSV"/>
    <x v="128"/>
    <x v="128"/>
    <x v="2"/>
    <n v="102395.13"/>
    <d v="2019-10-21T00:00:00"/>
    <n v="1"/>
    <x v="1"/>
    <x v="0"/>
  </r>
  <r>
    <s v="EZC"/>
    <x v="129"/>
    <x v="47"/>
    <x v="4"/>
    <n v="58430.23"/>
    <d v="2021-02-11T00:00:00"/>
    <n v="0.5"/>
    <x v="1"/>
    <x v="0"/>
  </r>
  <r>
    <s v="XEX"/>
    <x v="130"/>
    <x v="129"/>
    <x v="4"/>
    <n v="51855.48"/>
    <d v="2018-04-11T00:00:00"/>
    <n v="0.75"/>
    <x v="1"/>
    <x v="0"/>
  </r>
  <r>
    <s v="SFB"/>
    <x v="131"/>
    <x v="130"/>
    <x v="3"/>
    <n v="97937.26"/>
    <d v="2021-09-30T00:00:00"/>
    <n v="0.75"/>
    <x v="1"/>
    <x v="0"/>
  </r>
  <r>
    <s v="QGV"/>
    <x v="132"/>
    <x v="131"/>
    <x v="2"/>
    <n v="56195.360000000001"/>
    <d v="2015-03-28T00:00:00"/>
    <n v="1"/>
    <x v="1"/>
    <x v="0"/>
  </r>
  <r>
    <s v="SSV"/>
    <x v="133"/>
    <x v="132"/>
    <x v="2"/>
    <n v="67780.679999999993"/>
    <d v="2024-03-13T00:00:00"/>
    <n v="0.5"/>
    <x v="0"/>
    <x v="0"/>
  </r>
  <r>
    <s v="SSV"/>
    <x v="134"/>
    <x v="133"/>
    <x v="5"/>
    <n v="34163.01"/>
    <d v="2015-02-05T00:00:00"/>
    <n v="1"/>
    <x v="1"/>
    <x v="0"/>
  </r>
  <r>
    <s v="XEX"/>
    <x v="135"/>
    <x v="134"/>
    <x v="5"/>
    <n v="41901.040000000001"/>
    <d v="2021-04-28T00:00:00"/>
    <n v="0.75"/>
    <x v="1"/>
    <x v="0"/>
  </r>
  <r>
    <s v="HMN"/>
    <x v="136"/>
    <x v="135"/>
    <x v="4"/>
    <n v="31849.47"/>
    <d v="2015-12-31T00:00:00"/>
    <n v="1"/>
    <x v="1"/>
    <x v="0"/>
  </r>
  <r>
    <s v="SFB"/>
    <x v="137"/>
    <x v="136"/>
    <x v="2"/>
    <n v="37012.9"/>
    <d v="2018-11-22T00:00:00"/>
    <n v="1"/>
    <x v="1"/>
    <x v="0"/>
  </r>
  <r>
    <s v="ROG"/>
    <x v="138"/>
    <x v="137"/>
    <x v="4"/>
    <n v="36589"/>
    <d v="2017-10-25T00:00:00"/>
    <n v="0.75"/>
    <x v="1"/>
    <x v="0"/>
  </r>
  <r>
    <s v="BKI"/>
    <x v="139"/>
    <x v="138"/>
    <x v="0"/>
    <n v="67820.850000000006"/>
    <d v="2019-12-20T00:00:00"/>
    <n v="0.5"/>
    <x v="1"/>
    <x v="0"/>
  </r>
  <r>
    <s v="SFB"/>
    <x v="140"/>
    <x v="139"/>
    <x v="2"/>
    <n v="79569.95"/>
    <d v="2017-06-12T00:00:00"/>
    <n v="1"/>
    <x v="1"/>
    <x v="6"/>
  </r>
  <r>
    <s v="ARK"/>
    <x v="141"/>
    <x v="140"/>
    <x v="2"/>
    <n v="96679.09"/>
    <d v="2016-05-01T00:00:00"/>
    <n v="0.75"/>
    <x v="1"/>
    <x v="0"/>
  </r>
  <r>
    <s v="SFB"/>
    <x v="142"/>
    <x v="141"/>
    <x v="4"/>
    <n v="42805.51"/>
    <d v="2017-06-26T00:00:00"/>
    <n v="1"/>
    <x v="1"/>
    <x v="0"/>
  </r>
  <r>
    <s v="ROG"/>
    <x v="143"/>
    <x v="142"/>
    <x v="5"/>
    <n v="67996.990000000005"/>
    <d v="2020-08-08T00:00:00"/>
    <n v="0.5"/>
    <x v="1"/>
    <x v="0"/>
  </r>
  <r>
    <s v="VWJ"/>
    <x v="144"/>
    <x v="143"/>
    <x v="5"/>
    <n v="87326.94"/>
    <d v="2014-11-21T00:00:00"/>
    <n v="1"/>
    <x v="1"/>
    <x v="0"/>
  </r>
  <r>
    <s v="EZC"/>
    <x v="145"/>
    <x v="144"/>
    <x v="0"/>
    <n v="37610.01"/>
    <d v="2018-05-21T00:00:00"/>
    <n v="0.5"/>
    <x v="1"/>
    <x v="0"/>
  </r>
  <r>
    <s v="SSV"/>
    <x v="146"/>
    <x v="145"/>
    <x v="0"/>
    <n v="70033"/>
    <d v="2015-02-25T00:00:00"/>
    <n v="0.5"/>
    <x v="1"/>
    <x v="0"/>
  </r>
  <r>
    <s v="SFB"/>
    <x v="147"/>
    <x v="146"/>
    <x v="1"/>
    <n v="63233.04"/>
    <d v="2014-07-19T00:00:00"/>
    <n v="0.5"/>
    <x v="1"/>
    <x v="0"/>
  </r>
  <r>
    <s v="EZC"/>
    <x v="148"/>
    <x v="147"/>
    <x v="1"/>
    <n v="115403.87"/>
    <d v="2020-12-01T00:00:00"/>
    <n v="1"/>
    <x v="1"/>
    <x v="0"/>
  </r>
  <r>
    <s v="XEX"/>
    <x v="149"/>
    <x v="148"/>
    <x v="0"/>
    <n v="35207.14"/>
    <d v="2023-07-03T00:00:00"/>
    <n v="0.75"/>
    <x v="0"/>
    <x v="0"/>
  </r>
  <r>
    <s v="XEX"/>
    <x v="150"/>
    <x v="149"/>
    <x v="3"/>
    <n v="66776.36"/>
    <d v="2014-06-27T00:00:00"/>
    <n v="0.5"/>
    <x v="1"/>
    <x v="0"/>
  </r>
  <r>
    <s v="SFB"/>
    <x v="151"/>
    <x v="150"/>
    <x v="2"/>
    <n v="67550.289999999994"/>
    <d v="2016-08-12T00:00:00"/>
    <n v="1"/>
    <x v="1"/>
    <x v="0"/>
  </r>
  <r>
    <s v="HMN"/>
    <x v="152"/>
    <x v="151"/>
    <x v="0"/>
    <n v="95536.25"/>
    <d v="2016-05-22T00:00:00"/>
    <n v="1"/>
    <x v="1"/>
    <x v="0"/>
  </r>
  <r>
    <s v="XEX"/>
    <x v="153"/>
    <x v="152"/>
    <x v="4"/>
    <n v="58860.39"/>
    <d v="2017-10-19T00:00:00"/>
    <n v="0.5"/>
    <x v="1"/>
    <x v="0"/>
  </r>
  <r>
    <s v="VWJ"/>
    <x v="154"/>
    <x v="153"/>
    <x v="4"/>
    <n v="48359.12"/>
    <d v="2015-10-18T00:00:00"/>
    <n v="0.75"/>
    <x v="1"/>
    <x v="0"/>
  </r>
  <r>
    <s v="SSV"/>
    <x v="155"/>
    <x v="154"/>
    <x v="4"/>
    <n v="56398.05"/>
    <d v="2022-05-04T00:00:00"/>
    <n v="0.75"/>
    <x v="0"/>
    <x v="1"/>
  </r>
  <r>
    <s v="HMN"/>
    <x v="156"/>
    <x v="155"/>
    <x v="1"/>
    <n v="72379.88"/>
    <d v="2017-10-09T00:00:00"/>
    <n v="0.5"/>
    <x v="1"/>
    <x v="6"/>
  </r>
  <r>
    <s v="EZC"/>
    <x v="157"/>
    <x v="156"/>
    <x v="0"/>
    <n v="115524.15"/>
    <d v="2014-06-08T00:00:00"/>
    <n v="1"/>
    <x v="1"/>
    <x v="0"/>
  </r>
  <r>
    <s v="BKI"/>
    <x v="158"/>
    <x v="157"/>
    <x v="1"/>
    <n v="101686.53"/>
    <d v="2023-04-05T00:00:00"/>
    <n v="1"/>
    <x v="0"/>
    <x v="0"/>
  </r>
  <r>
    <s v="ARK"/>
    <x v="159"/>
    <x v="158"/>
    <x v="4"/>
    <n v="54927.32"/>
    <d v="2021-06-21T00:00:00"/>
    <n v="0.75"/>
    <x v="0"/>
    <x v="0"/>
  </r>
  <r>
    <s v="SSV"/>
    <x v="160"/>
    <x v="159"/>
    <x v="2"/>
    <n v="80236.34"/>
    <d v="2015-07-18T00:00:00"/>
    <n v="0.5"/>
    <x v="1"/>
    <x v="0"/>
  </r>
  <r>
    <s v="ARK"/>
    <x v="161"/>
    <x v="160"/>
    <x v="4"/>
    <n v="91938.03"/>
    <d v="2023-07-18T00:00:00"/>
    <n v="1"/>
    <x v="0"/>
    <x v="0"/>
  </r>
  <r>
    <s v="BKI"/>
    <x v="162"/>
    <x v="161"/>
    <x v="4"/>
    <n v="101609.14"/>
    <d v="2017-06-03T00:00:00"/>
    <n v="1"/>
    <x v="1"/>
    <x v="0"/>
  </r>
  <r>
    <s v="XEX"/>
    <x v="163"/>
    <x v="162"/>
    <x v="2"/>
    <n v="70154.789999999994"/>
    <d v="2018-05-24T00:00:00"/>
    <n v="1"/>
    <x v="1"/>
    <x v="0"/>
  </r>
  <r>
    <s v="QGV"/>
    <x v="164"/>
    <x v="163"/>
    <x v="3"/>
    <n v="65889.919999999998"/>
    <d v="2018-04-09T00:00:00"/>
    <n v="0.75"/>
    <x v="1"/>
    <x v="0"/>
  </r>
  <r>
    <s v="VWJ"/>
    <x v="165"/>
    <x v="164"/>
    <x v="3"/>
    <n v="99087.67"/>
    <d v="2021-06-23T00:00:00"/>
    <n v="0.75"/>
    <x v="1"/>
    <x v="0"/>
  </r>
  <r>
    <s v="VWJ"/>
    <x v="166"/>
    <x v="165"/>
    <x v="5"/>
    <n v="68854.48"/>
    <d v="2020-11-27T00:00:00"/>
    <n v="0.75"/>
    <x v="1"/>
    <x v="0"/>
  </r>
  <r>
    <s v="VWJ"/>
    <x v="167"/>
    <x v="166"/>
    <x v="2"/>
    <n v="52316.19"/>
    <d v="2022-06-26T00:00:00"/>
    <n v="0.75"/>
    <x v="0"/>
    <x v="0"/>
  </r>
  <r>
    <s v="QGV"/>
    <x v="168"/>
    <x v="167"/>
    <x v="2"/>
    <n v="70810.23"/>
    <d v="2014-06-01T00:00:00"/>
    <n v="1"/>
    <x v="1"/>
    <x v="0"/>
  </r>
  <r>
    <s v="SSV"/>
    <x v="169"/>
    <x v="168"/>
    <x v="3"/>
    <n v="114339.42"/>
    <d v="2021-10-28T00:00:00"/>
    <n v="1"/>
    <x v="1"/>
    <x v="0"/>
  </r>
  <r>
    <s v="XEX"/>
    <x v="170"/>
    <x v="169"/>
    <x v="0"/>
    <n v="42831.07"/>
    <d v="2017-12-25T00:00:00"/>
    <n v="0.75"/>
    <x v="1"/>
    <x v="0"/>
  </r>
  <r>
    <s v="BKI"/>
    <x v="171"/>
    <x v="170"/>
    <x v="0"/>
    <n v="71619.179999999993"/>
    <d v="2020-11-22T00:00:00"/>
    <n v="0.75"/>
    <x v="1"/>
    <x v="7"/>
  </r>
  <r>
    <s v="HMN"/>
    <x v="172"/>
    <x v="171"/>
    <x v="1"/>
    <n v="87357.32"/>
    <d v="2015-02-09T00:00:00"/>
    <n v="0.75"/>
    <x v="1"/>
    <x v="7"/>
  </r>
  <r>
    <s v="QGV"/>
    <x v="173"/>
    <x v="172"/>
    <x v="2"/>
    <n v="73495.92"/>
    <d v="2018-12-28T00:00:00"/>
    <n v="0.5"/>
    <x v="1"/>
    <x v="6"/>
  </r>
  <r>
    <s v="ARK"/>
    <x v="174"/>
    <x v="173"/>
    <x v="4"/>
    <n v="48327.59"/>
    <d v="2014-11-23T00:00:00"/>
    <n v="0.75"/>
    <x v="1"/>
    <x v="0"/>
  </r>
  <r>
    <s v="VWJ"/>
    <x v="175"/>
    <x v="174"/>
    <x v="5"/>
    <n v="30165.88"/>
    <d v="2024-04-28T00:00:00"/>
    <n v="0.75"/>
    <x v="2"/>
    <x v="0"/>
  </r>
  <r>
    <s v="EZC"/>
    <x v="176"/>
    <x v="175"/>
    <x v="1"/>
    <n v="92909.25"/>
    <d v="2020-04-24T00:00:00"/>
    <n v="0.75"/>
    <x v="1"/>
    <x v="0"/>
  </r>
  <r>
    <s v="XEX"/>
    <x v="177"/>
    <x v="176"/>
    <x v="5"/>
    <n v="85686.2"/>
    <d v="2020-08-29T00:00:00"/>
    <n v="0.5"/>
    <x v="1"/>
    <x v="0"/>
  </r>
  <r>
    <s v="HMN"/>
    <x v="178"/>
    <x v="177"/>
    <x v="3"/>
    <n v="30699.9"/>
    <d v="2020-02-24T00:00:00"/>
    <n v="0.5"/>
    <x v="1"/>
    <x v="0"/>
  </r>
  <r>
    <s v="BKI"/>
    <x v="179"/>
    <x v="178"/>
    <x v="1"/>
    <n v="56870.41"/>
    <d v="2022-02-17T00:00:00"/>
    <n v="0.5"/>
    <x v="1"/>
    <x v="0"/>
  </r>
  <r>
    <s v="SSV"/>
    <x v="180"/>
    <x v="179"/>
    <x v="2"/>
    <n v="99177.08"/>
    <d v="2016-09-10T00:00:00"/>
    <n v="1"/>
    <x v="1"/>
    <x v="0"/>
  </r>
  <r>
    <s v="XEX"/>
    <x v="181"/>
    <x v="180"/>
    <x v="1"/>
    <n v="86602.83"/>
    <d v="2023-03-16T00:00:00"/>
    <n v="0.5"/>
    <x v="0"/>
    <x v="0"/>
  </r>
  <r>
    <s v="HMN"/>
    <x v="182"/>
    <x v="181"/>
    <x v="5"/>
    <n v="79068.73"/>
    <d v="2015-12-22T00:00:00"/>
    <n v="1"/>
    <x v="1"/>
    <x v="0"/>
  </r>
  <r>
    <s v="HMN"/>
    <x v="183"/>
    <x v="182"/>
    <x v="4"/>
    <n v="44059.9"/>
    <d v="2018-09-10T00:00:00"/>
    <n v="0.5"/>
    <x v="1"/>
    <x v="0"/>
  </r>
  <r>
    <s v="SFB"/>
    <x v="184"/>
    <x v="183"/>
    <x v="4"/>
    <n v="93566.46"/>
    <d v="2016-03-01T00:00:00"/>
    <n v="1"/>
    <x v="1"/>
    <x v="0"/>
  </r>
  <r>
    <s v="SSV"/>
    <x v="185"/>
    <x v="184"/>
    <x v="0"/>
    <n v="72429.14"/>
    <d v="2016-03-03T00:00:00"/>
    <n v="0.5"/>
    <x v="1"/>
    <x v="0"/>
  </r>
  <r>
    <s v="SSV"/>
    <x v="186"/>
    <x v="185"/>
    <x v="4"/>
    <n v="91036.09"/>
    <d v="2019-01-19T00:00:00"/>
    <n v="0.5"/>
    <x v="1"/>
    <x v="0"/>
  </r>
  <r>
    <s v="ROG"/>
    <x v="187"/>
    <x v="186"/>
    <x v="3"/>
    <n v="98408.09"/>
    <d v="2014-10-26T00:00:00"/>
    <n v="0.5"/>
    <x v="1"/>
    <x v="0"/>
  </r>
  <r>
    <s v="HMN"/>
    <x v="188"/>
    <x v="187"/>
    <x v="2"/>
    <n v="50912.639999999999"/>
    <d v="2016-10-27T00:00:00"/>
    <n v="0.75"/>
    <x v="1"/>
    <x v="0"/>
  </r>
  <r>
    <s v="ARK"/>
    <x v="189"/>
    <x v="188"/>
    <x v="0"/>
    <n v="98579.55"/>
    <d v="2016-09-20T00:00:00"/>
    <n v="0.75"/>
    <x v="1"/>
    <x v="0"/>
  </r>
  <r>
    <s v="QGV"/>
    <x v="190"/>
    <x v="189"/>
    <x v="1"/>
    <n v="55207.95"/>
    <d v="2020-11-08T00:00:00"/>
    <n v="1"/>
    <x v="1"/>
    <x v="0"/>
  </r>
  <r>
    <s v="ROG"/>
    <x v="191"/>
    <x v="190"/>
    <x v="4"/>
    <n v="118561.36"/>
    <d v="2017-12-06T00:00:00"/>
    <n v="1"/>
    <x v="1"/>
    <x v="0"/>
  </r>
  <r>
    <s v="HMN"/>
    <x v="192"/>
    <x v="191"/>
    <x v="2"/>
    <n v="40874.839999999997"/>
    <d v="2024-02-28T00:00:00"/>
    <n v="0.75"/>
    <x v="0"/>
    <x v="0"/>
  </r>
  <r>
    <s v="VWJ"/>
    <x v="193"/>
    <x v="192"/>
    <x v="2"/>
    <n v="109534.62"/>
    <d v="2019-11-05T00:00:00"/>
    <n v="1"/>
    <x v="1"/>
    <x v="7"/>
  </r>
  <r>
    <s v="VWJ"/>
    <x v="194"/>
    <x v="193"/>
    <x v="5"/>
    <n v="33649.24"/>
    <d v="2017-11-03T00:00:00"/>
    <n v="0.75"/>
    <x v="1"/>
    <x v="7"/>
  </r>
  <r>
    <s v="VWJ"/>
    <x v="195"/>
    <x v="194"/>
    <x v="1"/>
    <n v="53091.82"/>
    <d v="2021-07-29T00:00:00"/>
    <n v="0.75"/>
    <x v="1"/>
    <x v="0"/>
  </r>
  <r>
    <s v="ROG"/>
    <x v="196"/>
    <x v="195"/>
    <x v="0"/>
    <n v="77349.17"/>
    <d v="2023-01-19T00:00:00"/>
    <n v="0.75"/>
    <x v="2"/>
    <x v="0"/>
  </r>
  <r>
    <s v="SFB"/>
    <x v="197"/>
    <x v="196"/>
    <x v="4"/>
    <n v="82345.460000000006"/>
    <d v="2022-12-03T00:00:00"/>
    <n v="1"/>
    <x v="0"/>
    <x v="0"/>
  </r>
  <r>
    <s v="SSV"/>
    <x v="198"/>
    <x v="197"/>
    <x v="1"/>
    <n v="65661.149999999994"/>
    <d v="2016-06-15T00:00:00"/>
    <n v="1"/>
    <x v="1"/>
    <x v="0"/>
  </r>
  <r>
    <s v="VWJ"/>
    <x v="199"/>
    <x v="198"/>
    <x v="3"/>
    <n v="39182.86"/>
    <d v="2023-12-06T00:00:00"/>
    <n v="0.5"/>
    <x v="2"/>
    <x v="0"/>
  </r>
  <r>
    <s v="HMN"/>
    <x v="200"/>
    <x v="199"/>
    <x v="1"/>
    <n v="52734.73"/>
    <d v="2016-03-15T00:00:00"/>
    <n v="1"/>
    <x v="1"/>
    <x v="0"/>
  </r>
  <r>
    <s v="SSV"/>
    <x v="201"/>
    <x v="200"/>
    <x v="4"/>
    <n v="55505.69"/>
    <d v="2022-06-26T00:00:00"/>
    <n v="0.75"/>
    <x v="0"/>
    <x v="0"/>
  </r>
  <r>
    <s v="ARK"/>
    <x v="202"/>
    <x v="201"/>
    <x v="1"/>
    <n v="97970.06"/>
    <d v="2016-07-11T00:00:00"/>
    <n v="0.75"/>
    <x v="1"/>
    <x v="0"/>
  </r>
  <r>
    <s v="VWJ"/>
    <x v="203"/>
    <x v="202"/>
    <x v="2"/>
    <n v="111789.69"/>
    <d v="2023-01-25T00:00:00"/>
    <n v="1"/>
    <x v="0"/>
    <x v="0"/>
  </r>
  <r>
    <s v="XEX"/>
    <x v="204"/>
    <x v="203"/>
    <x v="2"/>
    <n v="83586.89"/>
    <d v="2022-01-09T00:00:00"/>
    <n v="0.5"/>
    <x v="0"/>
    <x v="0"/>
  </r>
  <r>
    <s v="EZC"/>
    <x v="205"/>
    <x v="204"/>
    <x v="5"/>
    <n v="33190.589999999997"/>
    <d v="2022-05-27T00:00:00"/>
    <n v="1"/>
    <x v="0"/>
    <x v="0"/>
  </r>
  <r>
    <s v="XEX"/>
    <x v="206"/>
    <x v="205"/>
    <x v="3"/>
    <n v="101301.28"/>
    <d v="2017-06-13T00:00:00"/>
    <n v="1"/>
    <x v="1"/>
    <x v="0"/>
  </r>
  <r>
    <s v="EZC"/>
    <x v="207"/>
    <x v="206"/>
    <x v="1"/>
    <n v="57504.35"/>
    <d v="2022-02-23T00:00:00"/>
    <n v="1"/>
    <x v="1"/>
    <x v="0"/>
  </r>
  <r>
    <s v="QGV"/>
    <x v="208"/>
    <x v="207"/>
    <x v="4"/>
    <n v="60590.14"/>
    <d v="2023-09-23T00:00:00"/>
    <n v="1"/>
    <x v="0"/>
    <x v="0"/>
  </r>
  <r>
    <s v="QGV"/>
    <x v="209"/>
    <x v="208"/>
    <x v="3"/>
    <n v="77716.69"/>
    <d v="2020-03-10T00:00:00"/>
    <n v="0.75"/>
    <x v="1"/>
    <x v="0"/>
  </r>
  <r>
    <s v="XEX"/>
    <x v="210"/>
    <x v="209"/>
    <x v="2"/>
    <n v="52414.23"/>
    <d v="2016-08-07T00:00:00"/>
    <n v="1"/>
    <x v="1"/>
    <x v="0"/>
  </r>
  <r>
    <s v="BKI"/>
    <x v="211"/>
    <x v="210"/>
    <x v="1"/>
    <n v="112798.03"/>
    <d v="2021-06-28T00:00:00"/>
    <n v="1"/>
    <x v="0"/>
    <x v="0"/>
  </r>
  <r>
    <s v="BKI"/>
    <x v="212"/>
    <x v="211"/>
    <x v="3"/>
    <n v="44719.93"/>
    <d v="2018-09-27T00:00:00"/>
    <n v="1"/>
    <x v="1"/>
    <x v="0"/>
  </r>
  <r>
    <s v="EZC"/>
    <x v="213"/>
    <x v="212"/>
    <x v="2"/>
    <n v="67334.740000000005"/>
    <d v="2020-10-29T00:00:00"/>
    <n v="0.5"/>
    <x v="1"/>
    <x v="0"/>
  </r>
  <r>
    <s v="SFB"/>
    <x v="214"/>
    <x v="213"/>
    <x v="0"/>
    <n v="56072.28"/>
    <d v="2015-09-30T00:00:00"/>
    <n v="0.5"/>
    <x v="1"/>
    <x v="0"/>
  </r>
  <r>
    <s v="QGV"/>
    <x v="215"/>
    <x v="214"/>
    <x v="0"/>
    <n v="76785.070000000007"/>
    <d v="2024-01-08T00:00:00"/>
    <n v="1"/>
    <x v="2"/>
    <x v="0"/>
  </r>
  <r>
    <s v="SSV"/>
    <x v="216"/>
    <x v="215"/>
    <x v="2"/>
    <n v="81658.36"/>
    <d v="2023-01-03T00:00:00"/>
    <n v="0.5"/>
    <x v="0"/>
    <x v="0"/>
  </r>
  <r>
    <s v="EZC"/>
    <x v="217"/>
    <x v="216"/>
    <x v="3"/>
    <n v="86442.57"/>
    <d v="2020-02-13T00:00:00"/>
    <n v="0.75"/>
    <x v="1"/>
    <x v="0"/>
  </r>
  <r>
    <s v="BKI"/>
    <x v="218"/>
    <x v="217"/>
    <x v="2"/>
    <n v="77823.820000000007"/>
    <d v="2018-05-20T00:00:00"/>
    <n v="1"/>
    <x v="1"/>
    <x v="0"/>
  </r>
  <r>
    <s v="VWJ"/>
    <x v="219"/>
    <x v="218"/>
    <x v="0"/>
    <n v="66972.41"/>
    <d v="2022-02-16T00:00:00"/>
    <n v="1"/>
    <x v="0"/>
    <x v="5"/>
  </r>
  <r>
    <s v="EZC"/>
    <x v="220"/>
    <x v="219"/>
    <x v="5"/>
    <n v="87113.46"/>
    <d v="2018-08-20T00:00:00"/>
    <n v="0.5"/>
    <x v="1"/>
    <x v="0"/>
  </r>
  <r>
    <s v="HMN"/>
    <x v="221"/>
    <x v="220"/>
    <x v="2"/>
    <n v="66307.16"/>
    <d v="2020-05-19T00:00:00"/>
    <n v="0.75"/>
    <x v="1"/>
    <x v="0"/>
  </r>
  <r>
    <s v="EZC"/>
    <x v="222"/>
    <x v="221"/>
    <x v="2"/>
    <n v="100069.52"/>
    <d v="2022-08-02T00:00:00"/>
    <n v="1"/>
    <x v="0"/>
    <x v="0"/>
  </r>
  <r>
    <s v="VWJ"/>
    <x v="223"/>
    <x v="222"/>
    <x v="0"/>
    <n v="100935.97"/>
    <d v="2021-05-22T00:00:00"/>
    <n v="1"/>
    <x v="0"/>
    <x v="0"/>
  </r>
  <r>
    <s v="EZC"/>
    <x v="224"/>
    <x v="223"/>
    <x v="0"/>
    <n v="56302.879999999997"/>
    <d v="2014-10-25T00:00:00"/>
    <n v="0.75"/>
    <x v="1"/>
    <x v="0"/>
  </r>
  <r>
    <s v="SFB"/>
    <x v="225"/>
    <x v="224"/>
    <x v="1"/>
    <n v="63462.39"/>
    <d v="2022-01-05T00:00:00"/>
    <n v="0.5"/>
    <x v="0"/>
    <x v="0"/>
  </r>
  <r>
    <s v="EZC"/>
    <x v="226"/>
    <x v="225"/>
    <x v="3"/>
    <n v="86592.98"/>
    <d v="2014-07-06T00:00:00"/>
    <n v="1"/>
    <x v="1"/>
    <x v="0"/>
  </r>
  <r>
    <s v="ROG"/>
    <x v="227"/>
    <x v="226"/>
    <x v="3"/>
    <n v="44136.3"/>
    <d v="2023-10-22T00:00:00"/>
    <n v="0.75"/>
    <x v="2"/>
    <x v="0"/>
  </r>
  <r>
    <s v="XEX"/>
    <x v="228"/>
    <x v="227"/>
    <x v="1"/>
    <n v="92732.87"/>
    <d v="2021-04-18T00:00:00"/>
    <n v="0.75"/>
    <x v="1"/>
    <x v="0"/>
  </r>
  <r>
    <s v="BKI"/>
    <x v="229"/>
    <x v="228"/>
    <x v="4"/>
    <n v="64328.5"/>
    <d v="2021-12-30T00:00:00"/>
    <n v="1"/>
    <x v="1"/>
    <x v="0"/>
  </r>
  <r>
    <s v="XEX"/>
    <x v="230"/>
    <x v="229"/>
    <x v="5"/>
    <n v="83195.62"/>
    <d v="2018-03-21T00:00:00"/>
    <n v="0.5"/>
    <x v="1"/>
    <x v="0"/>
  </r>
  <r>
    <s v="VWJ"/>
    <x v="231"/>
    <x v="230"/>
    <x v="0"/>
    <n v="42557.98"/>
    <d v="2021-09-18T00:00:00"/>
    <n v="1"/>
    <x v="0"/>
    <x v="0"/>
  </r>
  <r>
    <s v="QGV"/>
    <x v="232"/>
    <x v="231"/>
    <x v="0"/>
    <n v="90143.25"/>
    <d v="2018-07-05T00:00:00"/>
    <n v="1"/>
    <x v="1"/>
    <x v="0"/>
  </r>
  <r>
    <s v="SSV"/>
    <x v="233"/>
    <x v="232"/>
    <x v="5"/>
    <n v="61865.21"/>
    <d v="2018-09-19T00:00:00"/>
    <n v="0.5"/>
    <x v="1"/>
    <x v="0"/>
  </r>
  <r>
    <s v="QGV"/>
    <x v="234"/>
    <x v="233"/>
    <x v="5"/>
    <n v="72539.899999999994"/>
    <d v="2022-07-12T00:00:00"/>
    <n v="0.5"/>
    <x v="1"/>
    <x v="0"/>
  </r>
  <r>
    <s v="BKI"/>
    <x v="235"/>
    <x v="234"/>
    <x v="4"/>
    <n v="67359.67"/>
    <d v="2022-06-29T00:00:00"/>
    <n v="1"/>
    <x v="0"/>
    <x v="0"/>
  </r>
  <r>
    <s v="EZC"/>
    <x v="236"/>
    <x v="235"/>
    <x v="3"/>
    <n v="72904.37"/>
    <d v="2016-10-22T00:00:00"/>
    <n v="1"/>
    <x v="1"/>
    <x v="0"/>
  </r>
  <r>
    <s v="BKI"/>
    <x v="237"/>
    <x v="236"/>
    <x v="1"/>
    <n v="92522.61"/>
    <d v="2018-04-17T00:00:00"/>
    <n v="1"/>
    <x v="1"/>
    <x v="0"/>
  </r>
  <r>
    <s v="VWJ"/>
    <x v="238"/>
    <x v="237"/>
    <x v="5"/>
    <n v="58641.62"/>
    <d v="2021-11-28T00:00:00"/>
    <n v="1"/>
    <x v="1"/>
    <x v="0"/>
  </r>
  <r>
    <s v="VWJ"/>
    <x v="239"/>
    <x v="238"/>
    <x v="3"/>
    <n v="88684.9"/>
    <d v="2019-03-26T00:00:00"/>
    <n v="0.75"/>
    <x v="1"/>
    <x v="0"/>
  </r>
  <r>
    <s v="HMN"/>
    <x v="240"/>
    <x v="239"/>
    <x v="1"/>
    <n v="35419.99"/>
    <d v="2020-07-13T00:00:00"/>
    <n v="0.75"/>
    <x v="1"/>
    <x v="0"/>
  </r>
  <r>
    <s v="SFB"/>
    <x v="241"/>
    <x v="240"/>
    <x v="2"/>
    <n v="57016.66"/>
    <d v="2022-09-06T00:00:00"/>
    <n v="0.75"/>
    <x v="1"/>
    <x v="0"/>
  </r>
  <r>
    <s v="SFB"/>
    <x v="242"/>
    <x v="241"/>
    <x v="3"/>
    <n v="97068.87"/>
    <d v="2016-12-09T00:00:00"/>
    <n v="0.75"/>
    <x v="1"/>
    <x v="0"/>
  </r>
  <r>
    <s v="QGV"/>
    <x v="243"/>
    <x v="242"/>
    <x v="5"/>
    <n v="34716.53"/>
    <d v="2023-04-18T00:00:00"/>
    <n v="0.5"/>
    <x v="0"/>
    <x v="0"/>
  </r>
  <r>
    <s v="SFB"/>
    <x v="244"/>
    <x v="243"/>
    <x v="0"/>
    <n v="85902.8"/>
    <d v="2015-11-25T00:00:00"/>
    <n v="0.75"/>
    <x v="1"/>
    <x v="0"/>
  </r>
  <r>
    <s v="XEX"/>
    <x v="245"/>
    <x v="244"/>
    <x v="0"/>
    <n v="32299.21"/>
    <d v="2017-08-07T00:00:00"/>
    <n v="0.75"/>
    <x v="1"/>
    <x v="0"/>
  </r>
  <r>
    <s v="QGV"/>
    <x v="246"/>
    <x v="245"/>
    <x v="2"/>
    <n v="72437.600000000006"/>
    <d v="2019-07-06T00:00:00"/>
    <n v="1"/>
    <x v="1"/>
    <x v="0"/>
  </r>
  <r>
    <s v="HMN"/>
    <x v="247"/>
    <x v="246"/>
    <x v="4"/>
    <n v="109969.05"/>
    <d v="2023-03-21T00:00:00"/>
    <n v="1"/>
    <x v="0"/>
    <x v="6"/>
  </r>
  <r>
    <s v="QGV"/>
    <x v="248"/>
    <x v="247"/>
    <x v="4"/>
    <n v="30909.91"/>
    <d v="2016-06-30T00:00:00"/>
    <n v="1"/>
    <x v="1"/>
    <x v="1"/>
  </r>
  <r>
    <s v="VWJ"/>
    <x v="249"/>
    <x v="248"/>
    <x v="3"/>
    <n v="77414.52"/>
    <d v="2015-05-31T00:00:00"/>
    <n v="1"/>
    <x v="1"/>
    <x v="0"/>
  </r>
  <r>
    <s v="ARK"/>
    <x v="250"/>
    <x v="249"/>
    <x v="4"/>
    <n v="35981.11"/>
    <d v="2017-01-17T00:00:00"/>
    <n v="0.5"/>
    <x v="1"/>
    <x v="0"/>
  </r>
  <r>
    <s v="SSV"/>
    <x v="251"/>
    <x v="250"/>
    <x v="4"/>
    <n v="108039.88"/>
    <d v="2020-03-29T00:00:00"/>
    <n v="1"/>
    <x v="1"/>
    <x v="0"/>
  </r>
  <r>
    <s v="ROG"/>
    <x v="252"/>
    <x v="251"/>
    <x v="1"/>
    <n v="91766.69"/>
    <d v="2015-01-12T00:00:00"/>
    <n v="0.75"/>
    <x v="1"/>
    <x v="0"/>
  </r>
  <r>
    <s v="QGV"/>
    <x v="253"/>
    <x v="252"/>
    <x v="1"/>
    <n v="96775.85"/>
    <d v="2020-02-06T00:00:00"/>
    <n v="1"/>
    <x v="1"/>
    <x v="0"/>
  </r>
  <r>
    <s v="VWJ"/>
    <x v="254"/>
    <x v="253"/>
    <x v="4"/>
    <n v="90210.68"/>
    <d v="2017-02-19T00:00:00"/>
    <n v="1"/>
    <x v="1"/>
    <x v="0"/>
  </r>
  <r>
    <s v="SSV"/>
    <x v="255"/>
    <x v="254"/>
    <x v="5"/>
    <n v="30578.11"/>
    <d v="2022-05-19T00:00:00"/>
    <n v="0.75"/>
    <x v="1"/>
    <x v="8"/>
  </r>
  <r>
    <s v="HMN"/>
    <x v="256"/>
    <x v="255"/>
    <x v="4"/>
    <n v="33706.01"/>
    <d v="2021-01-18T00:00:00"/>
    <n v="1"/>
    <x v="1"/>
    <x v="0"/>
  </r>
  <r>
    <s v="ARK"/>
    <x v="257"/>
    <x v="256"/>
    <x v="2"/>
    <n v="85878.91"/>
    <d v="2017-08-07T00:00:00"/>
    <n v="0.5"/>
    <x v="1"/>
    <x v="4"/>
  </r>
  <r>
    <s v="ROG"/>
    <x v="258"/>
    <x v="257"/>
    <x v="5"/>
    <n v="119971.66"/>
    <d v="2021-05-29T00:00:00"/>
    <n v="1"/>
    <x v="1"/>
    <x v="0"/>
  </r>
  <r>
    <s v="ARK"/>
    <x v="259"/>
    <x v="258"/>
    <x v="1"/>
    <n v="108583.25"/>
    <d v="2022-11-06T00:00:00"/>
    <n v="1"/>
    <x v="0"/>
    <x v="5"/>
  </r>
  <r>
    <s v="BKI"/>
    <x v="260"/>
    <x v="259"/>
    <x v="1"/>
    <n v="92971.72"/>
    <d v="2017-09-04T00:00:00"/>
    <n v="0.75"/>
    <x v="1"/>
    <x v="9"/>
  </r>
  <r>
    <s v="SSV"/>
    <x v="261"/>
    <x v="260"/>
    <x v="0"/>
    <n v="95439"/>
    <d v="2017-04-04T00:00:00"/>
    <n v="1"/>
    <x v="1"/>
    <x v="0"/>
  </r>
  <r>
    <s v="SFB"/>
    <x v="262"/>
    <x v="261"/>
    <x v="2"/>
    <n v="50401.83"/>
    <d v="2021-01-21T00:00:00"/>
    <n v="0.75"/>
    <x v="0"/>
    <x v="0"/>
  </r>
  <r>
    <s v="QGV"/>
    <x v="263"/>
    <x v="262"/>
    <x v="5"/>
    <n v="97645.25"/>
    <d v="2015-03-18T00:00:00"/>
    <n v="0.5"/>
    <x v="1"/>
    <x v="0"/>
  </r>
  <r>
    <s v="QGV"/>
    <x v="264"/>
    <x v="263"/>
    <x v="3"/>
    <n v="55913.17"/>
    <d v="2020-03-05T00:00:00"/>
    <n v="0.5"/>
    <x v="1"/>
    <x v="0"/>
  </r>
  <r>
    <s v="XEX"/>
    <x v="265"/>
    <x v="264"/>
    <x v="2"/>
    <n v="39491.42"/>
    <d v="2023-04-09T00:00:00"/>
    <n v="1"/>
    <x v="2"/>
    <x v="0"/>
  </r>
  <r>
    <s v="XEX"/>
    <x v="266"/>
    <x v="265"/>
    <x v="3"/>
    <n v="71480.539999999994"/>
    <d v="2017-08-07T00:00:00"/>
    <n v="0.5"/>
    <x v="1"/>
    <x v="0"/>
  </r>
  <r>
    <s v="ROG"/>
    <x v="267"/>
    <x v="266"/>
    <x v="3"/>
    <n v="59717.62"/>
    <d v="2019-12-28T00:00:00"/>
    <n v="1"/>
    <x v="1"/>
    <x v="0"/>
  </r>
  <r>
    <s v="ROG"/>
    <x v="268"/>
    <x v="267"/>
    <x v="4"/>
    <n v="45142.99"/>
    <d v="2017-07-11T00:00:00"/>
    <n v="0.5"/>
    <x v="1"/>
    <x v="0"/>
  </r>
  <r>
    <s v="ARK"/>
    <x v="269"/>
    <x v="268"/>
    <x v="3"/>
    <n v="67953.89"/>
    <d v="2023-03-30T00:00:00"/>
    <n v="0.5"/>
    <x v="0"/>
    <x v="0"/>
  </r>
  <r>
    <s v="ARK"/>
    <x v="270"/>
    <x v="269"/>
    <x v="4"/>
    <n v="110748.09"/>
    <d v="2023-08-23T00:00:00"/>
    <n v="1"/>
    <x v="0"/>
    <x v="0"/>
  </r>
  <r>
    <s v="VWJ"/>
    <x v="271"/>
    <x v="270"/>
    <x v="0"/>
    <n v="69174.320000000007"/>
    <d v="2024-04-27T00:00:00"/>
    <n v="0.75"/>
    <x v="0"/>
    <x v="0"/>
  </r>
  <r>
    <s v="HMN"/>
    <x v="272"/>
    <x v="271"/>
    <x v="3"/>
    <n v="70256.27"/>
    <d v="2021-10-17T00:00:00"/>
    <n v="0.5"/>
    <x v="1"/>
    <x v="0"/>
  </r>
  <r>
    <s v="ROG"/>
    <x v="273"/>
    <x v="272"/>
    <x v="3"/>
    <n v="93794.5"/>
    <d v="2016-12-30T00:00:00"/>
    <n v="0.75"/>
    <x v="1"/>
    <x v="7"/>
  </r>
  <r>
    <s v="XEX"/>
    <x v="274"/>
    <x v="273"/>
    <x v="4"/>
    <n v="77174.570000000007"/>
    <d v="2022-10-21T00:00:00"/>
    <n v="1"/>
    <x v="1"/>
    <x v="10"/>
  </r>
  <r>
    <s v="HMN"/>
    <x v="275"/>
    <x v="274"/>
    <x v="0"/>
    <n v="41630.07"/>
    <d v="2024-02-13T00:00:00"/>
    <n v="0.75"/>
    <x v="0"/>
    <x v="1"/>
  </r>
  <r>
    <s v="ARK"/>
    <x v="276"/>
    <x v="275"/>
    <x v="2"/>
    <n v="111935.32"/>
    <d v="2018-01-14T00:00:00"/>
    <n v="1"/>
    <x v="1"/>
    <x v="6"/>
  </r>
  <r>
    <s v="ARK"/>
    <x v="277"/>
    <x v="276"/>
    <x v="1"/>
    <n v="69971.19"/>
    <d v="2021-12-01T00:00:00"/>
    <n v="1"/>
    <x v="1"/>
    <x v="1"/>
  </r>
  <r>
    <s v="SSV"/>
    <x v="278"/>
    <x v="277"/>
    <x v="5"/>
    <n v="101040.4"/>
    <d v="2014-12-20T00:00:00"/>
    <n v="1"/>
    <x v="1"/>
    <x v="6"/>
  </r>
  <r>
    <s v="VWJ"/>
    <x v="279"/>
    <x v="278"/>
    <x v="3"/>
    <n v="64998.76"/>
    <d v="2018-07-17T00:00:00"/>
    <n v="0.5"/>
    <x v="1"/>
    <x v="10"/>
  </r>
  <r>
    <s v="QGV"/>
    <x v="280"/>
    <x v="279"/>
    <x v="3"/>
    <n v="102616.14"/>
    <d v="2022-09-15T00:00:00"/>
    <n v="1"/>
    <x v="0"/>
    <x v="5"/>
  </r>
  <r>
    <s v="EZC"/>
    <x v="281"/>
    <x v="280"/>
    <x v="2"/>
    <n v="65058.28"/>
    <d v="2019-10-25T00:00:00"/>
    <n v="0.75"/>
    <x v="1"/>
    <x v="6"/>
  </r>
  <r>
    <s v="HMN"/>
    <x v="282"/>
    <x v="281"/>
    <x v="2"/>
    <n v="49814.36"/>
    <d v="2023-11-12T00:00:00"/>
    <n v="1"/>
    <x v="0"/>
    <x v="6"/>
  </r>
  <r>
    <s v="ARK"/>
    <x v="283"/>
    <x v="282"/>
    <x v="2"/>
    <n v="47657.52"/>
    <d v="2017-10-01T00:00:00"/>
    <n v="0.75"/>
    <x v="1"/>
    <x v="1"/>
  </r>
  <r>
    <s v="HMN"/>
    <x v="284"/>
    <x v="283"/>
    <x v="3"/>
    <n v="114603.12"/>
    <d v="2014-06-02T00:00:00"/>
    <n v="1"/>
    <x v="1"/>
    <x v="6"/>
  </r>
  <r>
    <s v="SSV"/>
    <x v="285"/>
    <x v="284"/>
    <x v="3"/>
    <n v="82787.72"/>
    <d v="2015-02-24T00:00:00"/>
    <n v="0.75"/>
    <x v="1"/>
    <x v="0"/>
  </r>
  <r>
    <s v="VWJ"/>
    <x v="286"/>
    <x v="285"/>
    <x v="1"/>
    <n v="34481.39"/>
    <d v="2015-06-20T00:00:00"/>
    <n v="1"/>
    <x v="1"/>
    <x v="0"/>
  </r>
  <r>
    <s v="EZC"/>
    <x v="287"/>
    <x v="286"/>
    <x v="4"/>
    <n v="64951.28"/>
    <d v="2016-09-09T00:00:00"/>
    <n v="0.5"/>
    <x v="1"/>
    <x v="0"/>
  </r>
  <r>
    <s v="XEX"/>
    <x v="288"/>
    <x v="287"/>
    <x v="0"/>
    <n v="51062.63"/>
    <d v="2018-07-17T00:00:00"/>
    <n v="0.75"/>
    <x v="1"/>
    <x v="0"/>
  </r>
  <r>
    <s v="ROG"/>
    <x v="289"/>
    <x v="288"/>
    <x v="4"/>
    <n v="37619.14"/>
    <d v="2021-12-13T00:00:00"/>
    <n v="1"/>
    <x v="1"/>
    <x v="0"/>
  </r>
  <r>
    <s v="HMN"/>
    <x v="290"/>
    <x v="289"/>
    <x v="0"/>
    <n v="46808.03"/>
    <d v="2018-03-21T00:00:00"/>
    <n v="0.75"/>
    <x v="1"/>
    <x v="0"/>
  </r>
  <r>
    <s v="HMN"/>
    <x v="291"/>
    <x v="290"/>
    <x v="1"/>
    <n v="35129.14"/>
    <d v="2016-04-06T00:00:00"/>
    <n v="0.5"/>
    <x v="1"/>
    <x v="0"/>
  </r>
  <r>
    <s v="BKI"/>
    <x v="292"/>
    <x v="291"/>
    <x v="5"/>
    <n v="87426.63"/>
    <d v="2023-03-08T00:00:00"/>
    <n v="0.75"/>
    <x v="0"/>
    <x v="0"/>
  </r>
  <r>
    <s v="SSV"/>
    <x v="293"/>
    <x v="292"/>
    <x v="3"/>
    <n v="45603.65"/>
    <d v="2021-08-25T00:00:00"/>
    <n v="1"/>
    <x v="1"/>
    <x v="0"/>
  </r>
  <r>
    <s v="QGV"/>
    <x v="294"/>
    <x v="293"/>
    <x v="3"/>
    <n v="84970.19"/>
    <d v="2019-04-13T00:00:00"/>
    <n v="1"/>
    <x v="1"/>
    <x v="0"/>
  </r>
  <r>
    <s v="EZC"/>
    <x v="295"/>
    <x v="294"/>
    <x v="5"/>
    <n v="85125.61"/>
    <d v="2020-02-29T00:00:00"/>
    <n v="0.5"/>
    <x v="1"/>
    <x v="0"/>
  </r>
  <r>
    <s v="XEX"/>
    <x v="296"/>
    <x v="295"/>
    <x v="5"/>
    <n v="93443.13"/>
    <d v="2022-10-21T00:00:00"/>
    <n v="1"/>
    <x v="1"/>
    <x v="0"/>
  </r>
  <r>
    <s v="ARK"/>
    <x v="297"/>
    <x v="296"/>
    <x v="4"/>
    <n v="76090.679999999993"/>
    <d v="2017-09-04T00:00:00"/>
    <n v="0.75"/>
    <x v="1"/>
    <x v="0"/>
  </r>
  <r>
    <s v="VWJ"/>
    <x v="298"/>
    <x v="297"/>
    <x v="2"/>
    <n v="55598.16"/>
    <d v="2017-03-09T00:00:00"/>
    <n v="0.75"/>
    <x v="1"/>
    <x v="0"/>
  </r>
  <r>
    <s v="EZC"/>
    <x v="299"/>
    <x v="298"/>
    <x v="5"/>
    <n v="108971.17"/>
    <d v="2020-09-30T00:00:00"/>
    <n v="1"/>
    <x v="1"/>
    <x v="0"/>
  </r>
  <r>
    <s v="XEX"/>
    <x v="300"/>
    <x v="299"/>
    <x v="3"/>
    <n v="56423.87"/>
    <d v="2024-01-04T00:00:00"/>
    <n v="0.75"/>
    <x v="1"/>
    <x v="0"/>
  </r>
  <r>
    <s v="ARK"/>
    <x v="301"/>
    <x v="300"/>
    <x v="1"/>
    <n v="61234.76"/>
    <d v="2024-01-15T00:00:00"/>
    <n v="1"/>
    <x v="0"/>
    <x v="0"/>
  </r>
  <r>
    <s v="BKI"/>
    <x v="302"/>
    <x v="301"/>
    <x v="2"/>
    <n v="78345.22"/>
    <d v="2024-02-03T00:00:00"/>
    <n v="0.5"/>
    <x v="2"/>
    <x v="0"/>
  </r>
  <r>
    <s v="QGV"/>
    <x v="303"/>
    <x v="302"/>
    <x v="4"/>
    <n v="70234.559999999998"/>
    <d v="2024-02-25T00:00:00"/>
    <n v="1"/>
    <x v="1"/>
    <x v="0"/>
  </r>
  <r>
    <s v="VWJ"/>
    <x v="304"/>
    <x v="303"/>
    <x v="5"/>
    <n v="83567.89"/>
    <d v="2024-03-01T00:00:00"/>
    <n v="0.75"/>
    <x v="1"/>
    <x v="0"/>
  </r>
  <r>
    <s v="EZC"/>
    <x v="305"/>
    <x v="304"/>
    <x v="0"/>
    <n v="90345.12"/>
    <d v="2024-03-12T00:00:00"/>
    <n v="1"/>
    <x v="0"/>
    <x v="0"/>
  </r>
  <r>
    <s v="ROG"/>
    <x v="306"/>
    <x v="305"/>
    <x v="3"/>
    <n v="72345.78"/>
    <d v="2024-04-04T00:00:00"/>
    <n v="0.75"/>
    <x v="1"/>
    <x v="0"/>
  </r>
  <r>
    <s v="HMN"/>
    <x v="307"/>
    <x v="306"/>
    <x v="2"/>
    <n v="62345.34"/>
    <d v="2024-04-15T00:00:00"/>
    <n v="1"/>
    <x v="2"/>
    <x v="0"/>
  </r>
  <r>
    <s v="SFB"/>
    <x v="308"/>
    <x v="307"/>
    <x v="1"/>
    <n v="71234.45"/>
    <d v="2024-04-28T00:00:00"/>
    <n v="0.5"/>
    <x v="0"/>
    <x v="0"/>
  </r>
  <r>
    <s v="XEX"/>
    <x v="309"/>
    <x v="308"/>
    <x v="5"/>
    <n v="91234.559999999998"/>
    <d v="2024-05-01T00:00:00"/>
    <n v="0.75"/>
    <x v="1"/>
    <x v="0"/>
  </r>
  <r>
    <s v="BKI"/>
    <x v="310"/>
    <x v="309"/>
    <x v="4"/>
    <n v="80345.67"/>
    <d v="2024-05-14T00:00:00"/>
    <n v="1"/>
    <x v="0"/>
    <x v="0"/>
  </r>
  <r>
    <s v="QGV"/>
    <x v="311"/>
    <x v="310"/>
    <x v="0"/>
    <n v="75345.119999999995"/>
    <d v="2024-05-28T00:00:00"/>
    <n v="0.5"/>
    <x v="1"/>
    <x v="0"/>
  </r>
  <r>
    <s v="SSV"/>
    <x v="312"/>
    <x v="311"/>
    <x v="3"/>
    <n v="84356.78"/>
    <d v="2024-06-02T00:00:00"/>
    <n v="1"/>
    <x v="2"/>
    <x v="0"/>
  </r>
  <r>
    <s v="ROG"/>
    <x v="313"/>
    <x v="312"/>
    <x v="1"/>
    <n v="93234.559999999998"/>
    <d v="2024-06-15T00:00:00"/>
    <n v="0.75"/>
    <x v="0"/>
    <x v="0"/>
  </r>
  <r>
    <s v="ARK"/>
    <x v="314"/>
    <x v="313"/>
    <x v="5"/>
    <n v="51234.67"/>
    <d v="2024-06-28T00:00:00"/>
    <n v="0.5"/>
    <x v="1"/>
    <x v="0"/>
  </r>
  <r>
    <s v="EZC"/>
    <x v="315"/>
    <x v="314"/>
    <x v="2"/>
    <n v="65234.559999999998"/>
    <d v="2024-07-01T00:00:00"/>
    <n v="1"/>
    <x v="1"/>
    <x v="0"/>
  </r>
  <r>
    <s v="QGV"/>
    <x v="316"/>
    <x v="315"/>
    <x v="3"/>
    <n v="75234.12"/>
    <d v="2024-07-14T00:00:00"/>
    <n v="0.75"/>
    <x v="0"/>
    <x v="4"/>
  </r>
  <r>
    <s v="HMN"/>
    <x v="317"/>
    <x v="316"/>
    <x v="0"/>
    <n v="89234.45"/>
    <d v="2024-07-25T00:00:00"/>
    <n v="0.75"/>
    <x v="2"/>
    <x v="1"/>
  </r>
  <r>
    <s v="VWJ"/>
    <x v="318"/>
    <x v="317"/>
    <x v="4"/>
    <n v="60345.67"/>
    <d v="2024-08-03T00:00:00"/>
    <n v="1"/>
    <x v="1"/>
    <x v="1"/>
  </r>
  <r>
    <s v="EZC"/>
    <x v="319"/>
    <x v="318"/>
    <x v="5"/>
    <n v="70234.89"/>
    <d v="2024-08-15T00:00:00"/>
    <n v="1"/>
    <x v="0"/>
    <x v="0"/>
  </r>
  <r>
    <s v="EZC"/>
    <x v="320"/>
    <x v="319"/>
    <x v="5"/>
    <n v="150000"/>
    <d v="2024-08-16T00:00:00"/>
    <n v="2"/>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54E30-002E-4E63-A648-6208573FC2EB}" name="PivotTable28" cacheId="1" applyNumberFormats="0" applyBorderFormats="0" applyFontFormats="0" applyPatternFormats="0" applyAlignmentFormats="0" applyWidthHeightFormats="1" dataCaption="Values" grandTotalCaption="Top 10" updatedVersion="8" minRefreshableVersion="3" showDrill="0" itemPrintTitles="1" createdVersion="8" indent="0" showHeaders="0" compact="0" compactData="0" multipleFieldFilters="0">
  <location ref="B18:D29" firstHeaderRow="1" firstDataRow="1" firstDataCol="2"/>
  <pivotFields count="9">
    <pivotField compact="0" outline="0" showAll="0"/>
    <pivotField axis="axisRow" compact="0" outline="0" showAll="0" measureFilter="1" sortType="descending" defaultSubtotal="0">
      <items count="321">
        <item x="155"/>
        <item x="292"/>
        <item x="297"/>
        <item x="35"/>
        <item x="101"/>
        <item x="285"/>
        <item x="123"/>
        <item x="196"/>
        <item x="153"/>
        <item x="241"/>
        <item x="58"/>
        <item x="281"/>
        <item x="272"/>
        <item x="267"/>
        <item x="197"/>
        <item x="135"/>
        <item x="188"/>
        <item x="105"/>
        <item x="177"/>
        <item x="19"/>
        <item x="228"/>
        <item x="118"/>
        <item x="238"/>
        <item x="121"/>
        <item x="69"/>
        <item x="237"/>
        <item x="193"/>
        <item x="176"/>
        <item x="211"/>
        <item x="33"/>
        <item x="169"/>
        <item x="263"/>
        <item x="57"/>
        <item x="162"/>
        <item x="29"/>
        <item x="115"/>
        <item x="278"/>
        <item x="288"/>
        <item x="1"/>
        <item x="236"/>
        <item x="141"/>
        <item x="276"/>
        <item x="183"/>
        <item x="47"/>
        <item x="260"/>
        <item x="116"/>
        <item x="30"/>
        <item x="28"/>
        <item x="137"/>
        <item x="248"/>
        <item x="36"/>
        <item x="264"/>
        <item x="8"/>
        <item x="194"/>
        <item x="73"/>
        <item x="80"/>
        <item x="261"/>
        <item x="203"/>
        <item x="7"/>
        <item x="210"/>
        <item x="255"/>
        <item x="56"/>
        <item x="16"/>
        <item x="63"/>
        <item x="279"/>
        <item x="225"/>
        <item x="296"/>
        <item x="14"/>
        <item x="221"/>
        <item x="172"/>
        <item x="120"/>
        <item x="200"/>
        <item x="180"/>
        <item x="290"/>
        <item x="256"/>
        <item x="72"/>
        <item x="107"/>
        <item x="83"/>
        <item x="127"/>
        <item x="79"/>
        <item x="185"/>
        <item x="22"/>
        <item x="110"/>
        <item x="266"/>
        <item x="126"/>
        <item x="170"/>
        <item x="23"/>
        <item x="52"/>
        <item x="284"/>
        <item x="156"/>
        <item x="227"/>
        <item x="232"/>
        <item x="54"/>
        <item x="207"/>
        <item x="74"/>
        <item x="31"/>
        <item x="62"/>
        <item x="97"/>
        <item x="293"/>
        <item x="143"/>
        <item x="67"/>
        <item x="291"/>
        <item x="70"/>
        <item x="246"/>
        <item x="45"/>
        <item x="100"/>
        <item x="49"/>
        <item x="32"/>
        <item x="119"/>
        <item x="247"/>
        <item x="286"/>
        <item x="152"/>
        <item x="173"/>
        <item x="275"/>
        <item x="160"/>
        <item x="240"/>
        <item x="66"/>
        <item x="108"/>
        <item x="50"/>
        <item x="164"/>
        <item x="174"/>
        <item x="144"/>
        <item x="40"/>
        <item x="298"/>
        <item x="223"/>
        <item x="113"/>
        <item x="220"/>
        <item x="5"/>
        <item x="122"/>
        <item x="20"/>
        <item x="157"/>
        <item x="2"/>
        <item x="165"/>
        <item x="254"/>
        <item x="103"/>
        <item x="104"/>
        <item x="92"/>
        <item x="202"/>
        <item x="274"/>
        <item x="4"/>
        <item x="125"/>
        <item x="161"/>
        <item x="175"/>
        <item x="21"/>
        <item x="12"/>
        <item x="216"/>
        <item x="102"/>
        <item x="13"/>
        <item x="282"/>
        <item x="206"/>
        <item x="283"/>
        <item x="277"/>
        <item x="186"/>
        <item x="234"/>
        <item x="55"/>
        <item x="280"/>
        <item x="77"/>
        <item x="287"/>
        <item x="48"/>
        <item x="299"/>
        <item x="130"/>
        <item x="231"/>
        <item x="26"/>
        <item x="76"/>
        <item x="111"/>
        <item x="132"/>
        <item x="208"/>
        <item x="168"/>
        <item x="167"/>
        <item x="34"/>
        <item x="191"/>
        <item x="222"/>
        <item x="149"/>
        <item x="229"/>
        <item x="37"/>
        <item x="65"/>
        <item x="3"/>
        <item x="85"/>
        <item x="166"/>
        <item x="187"/>
        <item x="6"/>
        <item x="265"/>
        <item x="262"/>
        <item x="271"/>
        <item x="147"/>
        <item x="179"/>
        <item x="252"/>
        <item x="259"/>
        <item x="46"/>
        <item x="88"/>
        <item x="257"/>
        <item x="142"/>
        <item x="18"/>
        <item x="269"/>
        <item x="53"/>
        <item x="230"/>
        <item x="268"/>
        <item x="41"/>
        <item x="124"/>
        <item x="60"/>
        <item x="233"/>
        <item x="75"/>
        <item x="192"/>
        <item x="129"/>
        <item x="190"/>
        <item x="213"/>
        <item x="114"/>
        <item x="195"/>
        <item x="11"/>
        <item x="15"/>
        <item x="10"/>
        <item x="178"/>
        <item x="148"/>
        <item x="239"/>
        <item x="82"/>
        <item x="42"/>
        <item x="209"/>
        <item x="181"/>
        <item x="163"/>
        <item x="90"/>
        <item x="273"/>
        <item x="64"/>
        <item x="17"/>
        <item x="93"/>
        <item x="94"/>
        <item x="250"/>
        <item x="134"/>
        <item x="131"/>
        <item x="158"/>
        <item x="253"/>
        <item x="117"/>
        <item x="139"/>
        <item x="39"/>
        <item x="226"/>
        <item x="242"/>
        <item x="89"/>
        <item x="0"/>
        <item x="251"/>
        <item x="106"/>
        <item x="59"/>
        <item x="133"/>
        <item x="145"/>
        <item x="98"/>
        <item x="78"/>
        <item x="204"/>
        <item x="38"/>
        <item x="9"/>
        <item x="84"/>
        <item x="25"/>
        <item x="258"/>
        <item x="244"/>
        <item x="159"/>
        <item x="245"/>
        <item x="136"/>
        <item x="112"/>
        <item x="43"/>
        <item x="51"/>
        <item x="151"/>
        <item x="81"/>
        <item x="289"/>
        <item x="198"/>
        <item x="146"/>
        <item x="140"/>
        <item x="182"/>
        <item x="109"/>
        <item x="150"/>
        <item x="99"/>
        <item x="212"/>
        <item x="189"/>
        <item x="214"/>
        <item x="199"/>
        <item x="219"/>
        <item x="71"/>
        <item x="24"/>
        <item x="249"/>
        <item x="201"/>
        <item x="235"/>
        <item x="215"/>
        <item x="95"/>
        <item x="86"/>
        <item x="27"/>
        <item x="171"/>
        <item x="68"/>
        <item x="205"/>
        <item x="217"/>
        <item x="128"/>
        <item x="154"/>
        <item x="294"/>
        <item x="243"/>
        <item x="96"/>
        <item x="184"/>
        <item x="295"/>
        <item x="61"/>
        <item x="138"/>
        <item x="300"/>
        <item x="301"/>
        <item x="302"/>
        <item x="303"/>
        <item x="304"/>
        <item x="305"/>
        <item x="306"/>
        <item x="307"/>
        <item x="308"/>
        <item x="309"/>
        <item x="310"/>
        <item x="311"/>
        <item x="312"/>
        <item x="313"/>
        <item x="314"/>
        <item x="315"/>
        <item x="316"/>
        <item x="317"/>
        <item x="318"/>
        <item x="319"/>
        <item x="44"/>
        <item x="91"/>
        <item x="87"/>
        <item x="224"/>
        <item x="218"/>
        <item x="270"/>
        <item x="320"/>
      </items>
      <autoSortScope>
        <pivotArea dataOnly="0" outline="0" fieldPosition="0">
          <references count="1">
            <reference field="4294967294" count="1" selected="0">
              <x v="0"/>
            </reference>
          </references>
        </pivotArea>
      </autoSortScope>
    </pivotField>
    <pivotField axis="axisRow" compact="0" outline="0" showAll="0" sortType="descending">
      <items count="321">
        <item x="69"/>
        <item x="117"/>
        <item x="90"/>
        <item x="79"/>
        <item x="301"/>
        <item x="142"/>
        <item x="134"/>
        <item x="209"/>
        <item x="264"/>
        <item x="269"/>
        <item x="159"/>
        <item x="266"/>
        <item x="288"/>
        <item x="22"/>
        <item x="68"/>
        <item x="64"/>
        <item x="119"/>
        <item x="210"/>
        <item x="232"/>
        <item x="178"/>
        <item x="87"/>
        <item x="262"/>
        <item x="179"/>
        <item x="252"/>
        <item x="189"/>
        <item x="302"/>
        <item x="188"/>
        <item x="32"/>
        <item x="106"/>
        <item x="62"/>
        <item x="51"/>
        <item x="223"/>
        <item x="230"/>
        <item x="259"/>
        <item x="49"/>
        <item x="257"/>
        <item x="54"/>
        <item x="82"/>
        <item x="151"/>
        <item x="283"/>
        <item x="40"/>
        <item x="234"/>
        <item x="192"/>
        <item x="7"/>
        <item x="297"/>
        <item x="242"/>
        <item x="91"/>
        <item x="214"/>
        <item x="268"/>
        <item x="273"/>
        <item x="44"/>
        <item x="167"/>
        <item x="303"/>
        <item x="206"/>
        <item x="245"/>
        <item x="272"/>
        <item x="200"/>
        <item x="277"/>
        <item x="20"/>
        <item x="155"/>
        <item x="260"/>
        <item x="45"/>
        <item x="175"/>
        <item x="17"/>
        <item x="71"/>
        <item x="116"/>
        <item x="8"/>
        <item x="149"/>
        <item x="304"/>
        <item x="70"/>
        <item x="248"/>
        <item x="24"/>
        <item x="76"/>
        <item x="85"/>
        <item x="237"/>
        <item x="13"/>
        <item x="105"/>
        <item x="165"/>
        <item x="78"/>
        <item x="220"/>
        <item x="2"/>
        <item x="296"/>
        <item x="222"/>
        <item x="28"/>
        <item x="86"/>
        <item x="180"/>
        <item x="140"/>
        <item x="113"/>
        <item x="11"/>
        <item x="6"/>
        <item x="25"/>
        <item x="225"/>
        <item x="201"/>
        <item x="120"/>
        <item x="114"/>
        <item x="55"/>
        <item x="305"/>
        <item x="306"/>
        <item x="243"/>
        <item x="98"/>
        <item x="53"/>
        <item x="3"/>
        <item x="166"/>
        <item x="307"/>
        <item x="153"/>
        <item x="56"/>
        <item x="143"/>
        <item x="308"/>
        <item x="181"/>
        <item x="173"/>
        <item x="100"/>
        <item x="263"/>
        <item x="309"/>
        <item x="310"/>
        <item x="290"/>
        <item x="16"/>
        <item x="212"/>
        <item x="183"/>
        <item x="298"/>
        <item x="112"/>
        <item x="94"/>
        <item x="29"/>
        <item x="135"/>
        <item x="300"/>
        <item x="169"/>
        <item x="282"/>
        <item x="224"/>
        <item x="240"/>
        <item x="267"/>
        <item x="239"/>
        <item x="271"/>
        <item x="163"/>
        <item x="52"/>
        <item x="246"/>
        <item x="295"/>
        <item x="187"/>
        <item x="10"/>
        <item x="124"/>
        <item x="193"/>
        <item x="81"/>
        <item x="219"/>
        <item x="1"/>
        <item x="66"/>
        <item x="132"/>
        <item x="58"/>
        <item x="156"/>
        <item x="30"/>
        <item x="122"/>
        <item x="221"/>
        <item x="57"/>
        <item x="299"/>
        <item x="67"/>
        <item x="281"/>
        <item x="182"/>
        <item x="154"/>
        <item x="43"/>
        <item x="231"/>
        <item x="77"/>
        <item x="141"/>
        <item x="36"/>
        <item x="253"/>
        <item x="21"/>
        <item x="74"/>
        <item x="93"/>
        <item x="33"/>
        <item x="73"/>
        <item x="27"/>
        <item x="292"/>
        <item x="137"/>
        <item x="89"/>
        <item x="41"/>
        <item x="190"/>
        <item x="311"/>
        <item x="108"/>
        <item x="136"/>
        <item x="293"/>
        <item x="249"/>
        <item x="39"/>
        <item x="202"/>
        <item x="197"/>
        <item x="14"/>
        <item x="176"/>
        <item x="241"/>
        <item x="5"/>
        <item x="278"/>
        <item x="125"/>
        <item x="96"/>
        <item x="227"/>
        <item x="109"/>
        <item x="186"/>
        <item x="95"/>
        <item x="18"/>
        <item x="312"/>
        <item x="185"/>
        <item x="152"/>
        <item x="211"/>
        <item x="215"/>
        <item x="12"/>
        <item x="255"/>
        <item x="217"/>
        <item x="286"/>
        <item x="107"/>
        <item x="72"/>
        <item x="274"/>
        <item x="128"/>
        <item x="83"/>
        <item x="162"/>
        <item x="213"/>
        <item x="65"/>
        <item x="256"/>
        <item x="118"/>
        <item x="133"/>
        <item x="161"/>
        <item x="204"/>
        <item x="50"/>
        <item x="270"/>
        <item x="313"/>
        <item x="158"/>
        <item x="294"/>
        <item x="9"/>
        <item x="123"/>
        <item x="121"/>
        <item x="61"/>
        <item x="184"/>
        <item x="275"/>
        <item x="226"/>
        <item x="198"/>
        <item x="233"/>
        <item x="47"/>
        <item x="216"/>
        <item x="145"/>
        <item x="111"/>
        <item x="196"/>
        <item x="247"/>
        <item x="88"/>
        <item x="258"/>
        <item x="99"/>
        <item x="42"/>
        <item x="157"/>
        <item x="289"/>
        <item x="265"/>
        <item x="287"/>
        <item x="314"/>
        <item x="174"/>
        <item x="203"/>
        <item x="126"/>
        <item x="315"/>
        <item x="171"/>
        <item x="146"/>
        <item x="63"/>
        <item x="279"/>
        <item x="26"/>
        <item x="138"/>
        <item x="316"/>
        <item x="254"/>
        <item x="317"/>
        <item x="168"/>
        <item x="110"/>
        <item x="164"/>
        <item x="285"/>
        <item x="318"/>
        <item x="199"/>
        <item x="207"/>
        <item x="291"/>
        <item x="23"/>
        <item x="160"/>
        <item x="129"/>
        <item x="147"/>
        <item x="276"/>
        <item x="131"/>
        <item x="229"/>
        <item x="115"/>
        <item x="35"/>
        <item x="194"/>
        <item x="75"/>
        <item x="31"/>
        <item x="177"/>
        <item x="92"/>
        <item x="4"/>
        <item x="60"/>
        <item x="150"/>
        <item x="101"/>
        <item x="84"/>
        <item x="97"/>
        <item x="34"/>
        <item x="205"/>
        <item x="195"/>
        <item x="250"/>
        <item x="38"/>
        <item x="59"/>
        <item x="208"/>
        <item x="48"/>
        <item x="228"/>
        <item x="19"/>
        <item x="0"/>
        <item x="235"/>
        <item x="139"/>
        <item x="251"/>
        <item x="103"/>
        <item x="170"/>
        <item x="280"/>
        <item x="261"/>
        <item x="80"/>
        <item x="218"/>
        <item x="191"/>
        <item x="244"/>
        <item x="130"/>
        <item x="104"/>
        <item x="127"/>
        <item x="236"/>
        <item x="37"/>
        <item x="284"/>
        <item x="15"/>
        <item x="238"/>
        <item x="148"/>
        <item x="172"/>
        <item x="102"/>
        <item x="46"/>
        <item x="144"/>
        <item x="319"/>
        <item t="default"/>
      </items>
      <autoSortScope>
        <pivotArea dataOnly="0" outline="0" fieldPosition="0">
          <references count="1">
            <reference field="4294967294" count="1" selected="0">
              <x v="0"/>
            </reference>
          </references>
        </pivotArea>
      </autoSortScope>
    </pivotField>
    <pivotField compact="0" outline="0" showAll="0">
      <items count="7">
        <item h="1" x="1"/>
        <item h="1" x="4"/>
        <item h="1" x="5"/>
        <item h="1" x="3"/>
        <item x="0"/>
        <item h="1" x="2"/>
        <item t="default"/>
      </items>
    </pivotField>
    <pivotField dataField="1" compact="0" outline="0" showAll="0"/>
    <pivotField compact="0" numFmtId="14" outline="0" showAll="0"/>
    <pivotField compact="0" outline="0" showAll="0"/>
    <pivotField compact="0" outline="0" showAll="0"/>
    <pivotField compact="0" outline="0" showAll="0"/>
  </pivotFields>
  <rowFields count="2">
    <field x="1"/>
    <field x="2"/>
  </rowFields>
  <rowItems count="11">
    <i>
      <x v="128"/>
      <x v="147"/>
    </i>
    <i>
      <x v="222"/>
      <x v="63"/>
    </i>
    <i>
      <x v="130"/>
      <x v="145"/>
    </i>
    <i>
      <x v="236"/>
      <x v="294"/>
    </i>
    <i>
      <x v="156"/>
      <x v="157"/>
    </i>
    <i>
      <x v="242"/>
      <x v="99"/>
    </i>
    <i>
      <x v="100"/>
      <x v="151"/>
    </i>
    <i>
      <x v="124"/>
      <x v="82"/>
    </i>
    <i>
      <x v="95"/>
      <x v="275"/>
    </i>
    <i>
      <x v="55"/>
      <x v="302"/>
    </i>
    <i t="grand">
      <x/>
    </i>
  </rowItems>
  <colItems count="1">
    <i/>
  </colItems>
  <dataFields count="1">
    <dataField name="Salary " fld="4" baseField="0" baseItem="0" numFmtId="164"/>
  </dataFields>
  <formats count="1">
    <format dxfId="3">
      <pivotArea outline="0" collapsedLevelsAreSubtotals="1" fieldPosition="0"/>
    </format>
  </formats>
  <pivotTableStyleInfo name="XelPlus Neat Earner"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A7842-11A0-4D7C-A772-FF6DFC633F92}"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J12" firstHeaderRow="1" firstDataRow="1" firstDataCol="1"/>
  <pivotFields count="9">
    <pivotField showAll="0"/>
    <pivotField dataField="1" showAll="0"/>
    <pivotField showAll="0"/>
    <pivotField axis="axisRow" showAll="0">
      <items count="7">
        <item n="💰Finance" x="1"/>
        <item n="🧑‍🦲HR" x="4"/>
        <item n="💻 IT" x="5"/>
        <item n="📈 Marketing" x="3"/>
        <item n="⚙️ Operations" x="0"/>
        <item n="💼 Sales" x="2"/>
        <item t="default"/>
      </items>
    </pivotField>
    <pivotField showAll="0"/>
    <pivotField numFmtId="14" showAll="0"/>
    <pivotField showAll="0"/>
    <pivotField showAll="0"/>
    <pivotField showAll="0"/>
  </pivotFields>
  <rowFields count="1">
    <field x="3"/>
  </rowFields>
  <rowItems count="7">
    <i>
      <x/>
    </i>
    <i>
      <x v="1"/>
    </i>
    <i>
      <x v="2"/>
    </i>
    <i>
      <x v="3"/>
    </i>
    <i>
      <x v="4"/>
    </i>
    <i>
      <x v="5"/>
    </i>
    <i t="grand">
      <x/>
    </i>
  </rowItems>
  <colItems count="1">
    <i/>
  </colItems>
  <dataFields count="1">
    <dataField name="Headcount"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9332F-B0E2-470B-84F2-8CAE6252538A}"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G6" firstHeaderRow="0" firstDataRow="1" firstDataCol="0"/>
  <pivotFields count="9">
    <pivotField showAll="0"/>
    <pivotField dataField="1" showAll="0"/>
    <pivotField showAll="0"/>
    <pivotField showAll="0"/>
    <pivotField dataField="1" showAll="0"/>
    <pivotField numFmtId="14" showAll="0"/>
    <pivotField dataField="1" showAll="0"/>
    <pivotField showAll="0"/>
    <pivotField showAll="0"/>
  </pivotFields>
  <rowItems count="1">
    <i/>
  </rowItems>
  <colFields count="1">
    <field x="-2"/>
  </colFields>
  <colItems count="4">
    <i>
      <x/>
    </i>
    <i i="1">
      <x v="1"/>
    </i>
    <i i="2">
      <x v="2"/>
    </i>
    <i i="3">
      <x v="3"/>
    </i>
  </colItems>
  <dataFields count="4">
    <dataField name="Headcount" fld="1" subtotal="count" baseField="0" baseItem="0"/>
    <dataField name="FTE " fld="6" baseField="0" baseItem="0"/>
    <dataField name="Average Salary" fld="4" subtotal="average" baseField="0" baseItem="0" numFmtId="164"/>
    <dataField name="Max. of Salary" fld="4" subtotal="max" baseField="0" baseItem="0" numFmtId="164"/>
  </dataFields>
  <formats count="1">
    <format dxfId="4">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A0F4C-0F43-482B-92BF-DF73D0215F29}"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9:K21" firstHeaderRow="1" firstDataRow="1" firstDataCol="1"/>
  <pivotFields count="9">
    <pivotField showAll="0"/>
    <pivotField showAll="0"/>
    <pivotField showAll="0"/>
    <pivotField axis="axisRow" showAll="0">
      <items count="7">
        <item n="💰Finance" h="1" x="1"/>
        <item n="🧑‍🦲HR" h="1" x="4"/>
        <item n="💻 IT" h="1" x="5"/>
        <item n="📈 Marketing" h="1" x="3"/>
        <item n="⚙️ Operations" x="0"/>
        <item n="💼 Sales" h="1" x="2"/>
        <item t="default"/>
      </items>
    </pivotField>
    <pivotField showAll="0"/>
    <pivotField numFmtId="14" showAll="0"/>
    <pivotField showAll="0"/>
    <pivotField showAll="0"/>
    <pivotField showAll="0"/>
  </pivotFields>
  <rowFields count="1">
    <field x="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AF09A-B3B7-49AC-B319-65A36F854AD1}" name="PivotTable2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8:E23" firstHeaderRow="1" firstDataRow="1" firstDataCol="1"/>
  <pivotFields count="9">
    <pivotField showAll="0"/>
    <pivotField dataField="1" showAll="0"/>
    <pivotField showAll="0"/>
    <pivotField showAll="0">
      <items count="7">
        <item h="1" x="1"/>
        <item h="1" x="4"/>
        <item h="1" x="5"/>
        <item h="1" x="3"/>
        <item x="0"/>
        <item h="1" x="2"/>
        <item t="default"/>
      </items>
    </pivotField>
    <pivotField showAll="0"/>
    <pivotField numFmtId="14" showAll="0"/>
    <pivotField showAll="0"/>
    <pivotField showAll="0"/>
    <pivotField axis="axisRow" showAll="0">
      <items count="13">
        <item x="0"/>
        <item x="9"/>
        <item x="7"/>
        <item x="8"/>
        <item x="5"/>
        <item x="3"/>
        <item x="4"/>
        <item x="1"/>
        <item x="2"/>
        <item x="6"/>
        <item x="10"/>
        <item x="11"/>
        <item t="default"/>
      </items>
    </pivotField>
  </pivotFields>
  <rowFields count="1">
    <field x="8"/>
  </rowFields>
  <rowItems count="5">
    <i>
      <x/>
    </i>
    <i>
      <x v="2"/>
    </i>
    <i>
      <x v="4"/>
    </i>
    <i>
      <x v="7"/>
    </i>
    <i>
      <x v="8"/>
    </i>
  </rowItems>
  <colItems count="1">
    <i/>
  </colItems>
  <dataFields count="1">
    <dataField name="Headcou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204AB-E0E5-4BBA-AF20-564526BF852A}"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5:M9" firstHeaderRow="1" firstDataRow="1" firstDataCol="1"/>
  <pivotFields count="9">
    <pivotField showAll="0"/>
    <pivotField dataField="1" showAll="0"/>
    <pivotField showAll="0"/>
    <pivotField showAll="0"/>
    <pivotField showAll="0"/>
    <pivotField numFmtId="14"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4">
    <i>
      <x v="1"/>
    </i>
    <i>
      <x/>
    </i>
    <i>
      <x v="2"/>
    </i>
    <i t="grand">
      <x/>
    </i>
  </rowItems>
  <colItems count="1">
    <i/>
  </colItems>
  <dataFields count="1">
    <dataField name="Headcount" fld="1" subtotal="count" baseField="0" baseItem="0"/>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545B30-0A88-44BD-8E44-1BB816506D1E}" sourceName="Department">
  <pivotTables>
    <pivotTable tabId="4" name="PivotTable28"/>
    <pivotTable tabId="3" name="PivotTable29"/>
    <pivotTable tabId="3" name="PivotTable30"/>
  </pivotTables>
  <data>
    <tabular pivotCacheId="1517120492">
      <items count="6">
        <i x="0" s="1"/>
        <i x="1"/>
        <i x="5"/>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5E7CCC2-B5F1-4E2E-A880-2EC13CC8E981}" cache="Slicer_Department" caption="Department" columnCount="6" style="HR Slic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B61EB4-CCEF-468E-9E58-5691EC9145F0}" name="TEmployees" displayName="TEmployees" ref="A1:I322" totalsRowShown="0" headerRowDxfId="2" headerRowBorderDxfId="1">
  <autoFilter ref="A1:I322" xr:uid="{BDB61EB4-CCEF-468E-9E58-5691EC9145F0}"/>
  <tableColumns count="9">
    <tableColumn id="1" xr3:uid="{9B8ACE15-9F43-4B22-895E-E2B0C589353A}" name="Cost Centre"/>
    <tableColumn id="2" xr3:uid="{55B5D70D-8DE8-4B7D-9956-F9B372F1B582}" name="Employee ID"/>
    <tableColumn id="3" xr3:uid="{081C83F6-212F-4FEA-9CCE-B43259A761ED}" name="Name"/>
    <tableColumn id="4" xr3:uid="{86A83B08-ED9B-4F7C-8F32-C14310F717C7}" name="Department"/>
    <tableColumn id="5" xr3:uid="{DB9588D4-B687-46BD-ACAF-02E323EC88F8}" name="Salary"/>
    <tableColumn id="6" xr3:uid="{94CE8E15-DA03-44EC-AACD-AEF80C4C3110}" name="Start Date" dataDxfId="0"/>
    <tableColumn id="7" xr3:uid="{7673A924-9346-4C80-9147-BC642D7FB5F6}" name="FTE"/>
    <tableColumn id="8" xr3:uid="{A3180F7C-4092-4656-8CB6-1C8F1EB56AC0}" name="Employment type"/>
    <tableColumn id="9" xr3:uid="{1338D67E-9DC3-4288-92F7-14C244633183}" name="St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D237-85B3-4CF3-95B9-F885589D704C}">
  <sheetPr>
    <tabColor theme="9" tint="0.39997558519241921"/>
  </sheetPr>
  <dimension ref="A1:O42"/>
  <sheetViews>
    <sheetView showGridLines="0" tabSelected="1" view="pageBreakPreview" zoomScale="60" zoomScaleNormal="70" workbookViewId="0">
      <selection activeCell="N27" sqref="N27"/>
    </sheetView>
  </sheetViews>
  <sheetFormatPr defaultColWidth="0" defaultRowHeight="15.6" zeroHeight="1" x14ac:dyDescent="0.3"/>
  <cols>
    <col min="1" max="1" width="8.796875" customWidth="1"/>
    <col min="2" max="2" width="1.59765625" customWidth="1"/>
    <col min="3" max="3" width="16.8984375" customWidth="1"/>
    <col min="4" max="4" width="16.69921875" customWidth="1"/>
    <col min="5" max="14" width="8.796875" customWidth="1"/>
    <col min="16" max="16384" width="8.796875" hidden="1"/>
  </cols>
  <sheetData>
    <row r="1" spans="2:8" x14ac:dyDescent="0.3"/>
    <row r="2" spans="2:8" x14ac:dyDescent="0.3"/>
    <row r="3" spans="2:8" x14ac:dyDescent="0.3"/>
    <row r="4" spans="2:8" x14ac:dyDescent="0.3">
      <c r="B4" t="s">
        <v>380</v>
      </c>
      <c r="H4" t="s">
        <v>381</v>
      </c>
    </row>
    <row r="5" spans="2:8" x14ac:dyDescent="0.3"/>
    <row r="6" spans="2:8" x14ac:dyDescent="0.3"/>
    <row r="7" spans="2:8" x14ac:dyDescent="0.3"/>
    <row r="8" spans="2:8" x14ac:dyDescent="0.3"/>
    <row r="9" spans="2:8" x14ac:dyDescent="0.3"/>
    <row r="10" spans="2:8" x14ac:dyDescent="0.3"/>
    <row r="11" spans="2:8" x14ac:dyDescent="0.3"/>
    <row r="12" spans="2:8" x14ac:dyDescent="0.3"/>
    <row r="13" spans="2:8" x14ac:dyDescent="0.3"/>
    <row r="14" spans="2:8" x14ac:dyDescent="0.3"/>
    <row r="15" spans="2:8" x14ac:dyDescent="0.3"/>
    <row r="16" spans="2:8" x14ac:dyDescent="0.3"/>
    <row r="17" spans="2:6" x14ac:dyDescent="0.3">
      <c r="B17" t="s">
        <v>384</v>
      </c>
      <c r="F17" t="s">
        <v>385</v>
      </c>
    </row>
    <row r="18" spans="2:6" x14ac:dyDescent="0.3">
      <c r="D18" t="s">
        <v>382</v>
      </c>
    </row>
    <row r="19" spans="2:6" x14ac:dyDescent="0.3">
      <c r="B19">
        <v>49380</v>
      </c>
      <c r="C19" t="s">
        <v>157</v>
      </c>
      <c r="D19" s="6">
        <v>119365.66</v>
      </c>
    </row>
    <row r="20" spans="2:6" x14ac:dyDescent="0.3">
      <c r="B20">
        <v>75239</v>
      </c>
      <c r="C20" t="s">
        <v>46</v>
      </c>
      <c r="D20" s="6">
        <v>118803.53</v>
      </c>
    </row>
    <row r="21" spans="2:6" x14ac:dyDescent="0.3">
      <c r="B21">
        <v>49641</v>
      </c>
      <c r="C21" t="s">
        <v>191</v>
      </c>
      <c r="D21" s="6">
        <v>115524.15</v>
      </c>
    </row>
    <row r="22" spans="2:6" x14ac:dyDescent="0.3">
      <c r="B22">
        <v>78557</v>
      </c>
      <c r="C22" t="s">
        <v>10</v>
      </c>
      <c r="D22" s="6">
        <v>114865.23</v>
      </c>
    </row>
    <row r="23" spans="2:6" x14ac:dyDescent="0.3">
      <c r="B23">
        <v>57401</v>
      </c>
      <c r="C23" t="s">
        <v>111</v>
      </c>
      <c r="D23" s="6">
        <v>114217.93</v>
      </c>
    </row>
    <row r="24" spans="2:6" x14ac:dyDescent="0.3">
      <c r="B24">
        <v>81147</v>
      </c>
      <c r="C24" t="s">
        <v>132</v>
      </c>
      <c r="D24" s="6">
        <v>110409.16</v>
      </c>
    </row>
    <row r="25" spans="2:6" x14ac:dyDescent="0.3">
      <c r="B25">
        <v>37162</v>
      </c>
      <c r="C25" t="s">
        <v>101</v>
      </c>
      <c r="D25" s="6">
        <v>103745.48</v>
      </c>
    </row>
    <row r="26" spans="2:6" x14ac:dyDescent="0.3">
      <c r="B26">
        <v>48509</v>
      </c>
      <c r="C26" t="s">
        <v>258</v>
      </c>
      <c r="D26" s="6">
        <v>100935.97</v>
      </c>
    </row>
    <row r="27" spans="2:6" x14ac:dyDescent="0.3">
      <c r="B27">
        <v>35957</v>
      </c>
      <c r="C27" t="s">
        <v>63</v>
      </c>
      <c r="D27" s="6">
        <v>99877.79</v>
      </c>
    </row>
    <row r="28" spans="2:6" x14ac:dyDescent="0.3">
      <c r="B28">
        <v>23729</v>
      </c>
      <c r="C28" t="s">
        <v>114</v>
      </c>
      <c r="D28" s="6">
        <v>99643.69</v>
      </c>
    </row>
    <row r="29" spans="2:6" x14ac:dyDescent="0.3">
      <c r="B29" t="s">
        <v>383</v>
      </c>
      <c r="D29" s="6">
        <v>1097388.5899999999</v>
      </c>
    </row>
    <row r="30" spans="2:6" x14ac:dyDescent="0.3"/>
    <row r="31" spans="2:6" x14ac:dyDescent="0.3"/>
    <row r="32" spans="2:6" x14ac:dyDescent="0.3"/>
    <row r="33" x14ac:dyDescent="0.3"/>
    <row r="34" x14ac:dyDescent="0.3"/>
    <row r="35" x14ac:dyDescent="0.3"/>
    <row r="36" x14ac:dyDescent="0.3"/>
    <row r="37" x14ac:dyDescent="0.3"/>
    <row r="38" x14ac:dyDescent="0.3"/>
    <row r="39" x14ac:dyDescent="0.3"/>
    <row r="40" x14ac:dyDescent="0.3"/>
    <row r="41" x14ac:dyDescent="0.3"/>
    <row r="42" x14ac:dyDescent="0.3"/>
  </sheetData>
  <pageMargins left="0.7" right="0.7" top="0.75" bottom="0.75" header="0.3" footer="0.3"/>
  <pageSetup paperSize="9"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B9F2-EC3A-4279-9686-F42FFBF505E7}">
  <dimension ref="A1:I322"/>
  <sheetViews>
    <sheetView workbookViewId="0">
      <selection activeCell="I323" sqref="I323"/>
    </sheetView>
  </sheetViews>
  <sheetFormatPr defaultRowHeight="15.6" x14ac:dyDescent="0.3"/>
  <cols>
    <col min="1" max="1" width="12.296875" customWidth="1"/>
    <col min="2" max="2" width="12.796875" customWidth="1"/>
    <col min="3" max="3" width="16.5" bestFit="1" customWidth="1"/>
    <col min="4" max="4" width="12.3984375" customWidth="1"/>
    <col min="5" max="5" width="9.69921875" bestFit="1" customWidth="1"/>
    <col min="6" max="6" width="11.3984375" customWidth="1"/>
    <col min="7" max="7" width="6.3984375" customWidth="1"/>
    <col min="8" max="8" width="16.8984375" customWidth="1"/>
    <col min="9" max="9" width="10.09765625" bestFit="1" customWidth="1"/>
  </cols>
  <sheetData>
    <row r="1" spans="1:9" x14ac:dyDescent="0.3">
      <c r="A1" s="2" t="s">
        <v>1</v>
      </c>
      <c r="B1" s="2" t="s">
        <v>2</v>
      </c>
      <c r="C1" s="2" t="s">
        <v>3</v>
      </c>
      <c r="D1" s="2" t="s">
        <v>0</v>
      </c>
      <c r="E1" s="2" t="s">
        <v>4</v>
      </c>
      <c r="F1" s="2" t="s">
        <v>5</v>
      </c>
      <c r="G1" s="2" t="s">
        <v>6</v>
      </c>
      <c r="H1" s="2" t="s">
        <v>7</v>
      </c>
      <c r="I1" s="2" t="s">
        <v>8</v>
      </c>
    </row>
    <row r="2" spans="1:9" x14ac:dyDescent="0.3">
      <c r="A2" t="s">
        <v>9</v>
      </c>
      <c r="B2">
        <v>78557</v>
      </c>
      <c r="C2" t="s">
        <v>10</v>
      </c>
      <c r="D2" t="s">
        <v>11</v>
      </c>
      <c r="E2">
        <v>114865.23</v>
      </c>
      <c r="F2" s="1">
        <v>44306</v>
      </c>
      <c r="G2">
        <v>1</v>
      </c>
      <c r="H2" t="s">
        <v>12</v>
      </c>
      <c r="I2" t="s">
        <v>13</v>
      </c>
    </row>
    <row r="3" spans="1:9" x14ac:dyDescent="0.3">
      <c r="A3" t="s">
        <v>14</v>
      </c>
      <c r="B3">
        <v>19288</v>
      </c>
      <c r="C3" t="s">
        <v>15</v>
      </c>
      <c r="D3" t="s">
        <v>16</v>
      </c>
      <c r="E3">
        <v>57252.44</v>
      </c>
      <c r="F3" s="1">
        <v>43867</v>
      </c>
      <c r="G3">
        <v>0.75</v>
      </c>
      <c r="H3" t="s">
        <v>17</v>
      </c>
      <c r="I3" t="s">
        <v>18</v>
      </c>
    </row>
    <row r="4" spans="1:9" x14ac:dyDescent="0.3">
      <c r="A4" t="s">
        <v>19</v>
      </c>
      <c r="B4">
        <v>49671</v>
      </c>
      <c r="C4" t="s">
        <v>20</v>
      </c>
      <c r="D4" t="s">
        <v>21</v>
      </c>
      <c r="E4">
        <v>66726.59</v>
      </c>
      <c r="F4" s="1">
        <v>43237</v>
      </c>
      <c r="G4">
        <v>0.75</v>
      </c>
      <c r="H4" t="s">
        <v>17</v>
      </c>
      <c r="I4" t="s">
        <v>13</v>
      </c>
    </row>
    <row r="5" spans="1:9" x14ac:dyDescent="0.3">
      <c r="A5" t="s">
        <v>22</v>
      </c>
      <c r="B5">
        <v>62844</v>
      </c>
      <c r="C5" t="s">
        <v>23</v>
      </c>
      <c r="D5" t="s">
        <v>24</v>
      </c>
      <c r="E5">
        <v>102903.38</v>
      </c>
      <c r="F5" s="1">
        <v>44938</v>
      </c>
      <c r="G5">
        <v>1</v>
      </c>
      <c r="H5" t="s">
        <v>12</v>
      </c>
      <c r="I5" t="s">
        <v>13</v>
      </c>
    </row>
    <row r="6" spans="1:9" x14ac:dyDescent="0.3">
      <c r="A6" t="s">
        <v>25</v>
      </c>
      <c r="B6">
        <v>53059</v>
      </c>
      <c r="C6" t="s">
        <v>26</v>
      </c>
      <c r="D6" t="s">
        <v>21</v>
      </c>
      <c r="E6">
        <v>35603.29</v>
      </c>
      <c r="F6" s="1">
        <v>44619</v>
      </c>
      <c r="G6">
        <v>1</v>
      </c>
      <c r="H6" t="s">
        <v>17</v>
      </c>
      <c r="I6" t="s">
        <v>13</v>
      </c>
    </row>
    <row r="7" spans="1:9" x14ac:dyDescent="0.3">
      <c r="A7" t="s">
        <v>27</v>
      </c>
      <c r="B7">
        <v>49220</v>
      </c>
      <c r="C7" t="s">
        <v>28</v>
      </c>
      <c r="D7" t="s">
        <v>24</v>
      </c>
      <c r="E7">
        <v>87688.639999999999</v>
      </c>
      <c r="F7" s="1">
        <v>42031</v>
      </c>
      <c r="G7">
        <v>0.75</v>
      </c>
      <c r="H7" t="s">
        <v>17</v>
      </c>
      <c r="I7" t="s">
        <v>13</v>
      </c>
    </row>
    <row r="8" spans="1:9" x14ac:dyDescent="0.3">
      <c r="A8" t="s">
        <v>19</v>
      </c>
      <c r="B8">
        <v>64358</v>
      </c>
      <c r="C8" t="s">
        <v>29</v>
      </c>
      <c r="D8" t="s">
        <v>24</v>
      </c>
      <c r="E8">
        <v>41458.870000000003</v>
      </c>
      <c r="F8" s="1">
        <v>44771</v>
      </c>
      <c r="G8">
        <v>0.5</v>
      </c>
      <c r="H8" t="s">
        <v>12</v>
      </c>
      <c r="I8" t="s">
        <v>13</v>
      </c>
    </row>
    <row r="9" spans="1:9" x14ac:dyDescent="0.3">
      <c r="A9" t="s">
        <v>22</v>
      </c>
      <c r="B9">
        <v>24241</v>
      </c>
      <c r="C9" t="s">
        <v>30</v>
      </c>
      <c r="D9" t="s">
        <v>31</v>
      </c>
      <c r="E9">
        <v>55837.95</v>
      </c>
      <c r="F9" s="1">
        <v>42421</v>
      </c>
      <c r="G9">
        <v>0.75</v>
      </c>
      <c r="H9" t="s">
        <v>17</v>
      </c>
      <c r="I9" t="s">
        <v>13</v>
      </c>
    </row>
    <row r="10" spans="1:9" x14ac:dyDescent="0.3">
      <c r="A10" t="s">
        <v>14</v>
      </c>
      <c r="B10">
        <v>23028</v>
      </c>
      <c r="C10" t="s">
        <v>32</v>
      </c>
      <c r="D10" t="s">
        <v>31</v>
      </c>
      <c r="E10">
        <v>104694.66</v>
      </c>
      <c r="F10" s="1">
        <v>43458</v>
      </c>
      <c r="G10">
        <v>1</v>
      </c>
      <c r="H10" t="s">
        <v>17</v>
      </c>
      <c r="I10" t="s">
        <v>13</v>
      </c>
    </row>
    <row r="11" spans="1:9" x14ac:dyDescent="0.3">
      <c r="A11" t="s">
        <v>33</v>
      </c>
      <c r="B11">
        <v>83509</v>
      </c>
      <c r="C11" t="s">
        <v>34</v>
      </c>
      <c r="D11" t="s">
        <v>21</v>
      </c>
      <c r="E11">
        <v>34997.43</v>
      </c>
      <c r="F11" s="1">
        <v>44942</v>
      </c>
      <c r="G11">
        <v>1</v>
      </c>
      <c r="H11" t="s">
        <v>35</v>
      </c>
      <c r="I11" t="s">
        <v>13</v>
      </c>
    </row>
    <row r="12" spans="1:9" x14ac:dyDescent="0.3">
      <c r="A12" t="s">
        <v>25</v>
      </c>
      <c r="B12">
        <v>73068</v>
      </c>
      <c r="C12" t="s">
        <v>36</v>
      </c>
      <c r="D12" t="s">
        <v>37</v>
      </c>
      <c r="E12">
        <v>33234.050000000003</v>
      </c>
      <c r="F12" s="1">
        <v>44835</v>
      </c>
      <c r="G12">
        <v>0.5</v>
      </c>
      <c r="H12" t="s">
        <v>17</v>
      </c>
      <c r="I12" t="s">
        <v>13</v>
      </c>
    </row>
    <row r="13" spans="1:9" x14ac:dyDescent="0.3">
      <c r="A13" t="s">
        <v>38</v>
      </c>
      <c r="B13">
        <v>72128</v>
      </c>
      <c r="C13" t="s">
        <v>39</v>
      </c>
      <c r="D13" t="s">
        <v>37</v>
      </c>
      <c r="E13">
        <v>67607.94</v>
      </c>
      <c r="F13" s="1">
        <v>45211</v>
      </c>
      <c r="G13">
        <v>0.5</v>
      </c>
      <c r="H13" t="s">
        <v>17</v>
      </c>
      <c r="I13" t="s">
        <v>18</v>
      </c>
    </row>
    <row r="14" spans="1:9" x14ac:dyDescent="0.3">
      <c r="A14" t="s">
        <v>14</v>
      </c>
      <c r="B14">
        <v>54181</v>
      </c>
      <c r="C14" t="s">
        <v>40</v>
      </c>
      <c r="D14" t="s">
        <v>21</v>
      </c>
      <c r="E14">
        <v>74264.789999999994</v>
      </c>
      <c r="F14" s="1">
        <v>44237</v>
      </c>
      <c r="G14">
        <v>0.75</v>
      </c>
      <c r="H14" t="s">
        <v>17</v>
      </c>
      <c r="I14" t="s">
        <v>41</v>
      </c>
    </row>
    <row r="15" spans="1:9" x14ac:dyDescent="0.3">
      <c r="A15" t="s">
        <v>19</v>
      </c>
      <c r="B15">
        <v>55043</v>
      </c>
      <c r="C15" t="s">
        <v>42</v>
      </c>
      <c r="D15" t="s">
        <v>31</v>
      </c>
      <c r="E15">
        <v>107699.27</v>
      </c>
      <c r="F15" s="1">
        <v>44726</v>
      </c>
      <c r="G15">
        <v>1</v>
      </c>
      <c r="H15" t="s">
        <v>12</v>
      </c>
      <c r="I15" t="s">
        <v>13</v>
      </c>
    </row>
    <row r="16" spans="1:9" x14ac:dyDescent="0.3">
      <c r="A16" t="s">
        <v>38</v>
      </c>
      <c r="B16">
        <v>26295</v>
      </c>
      <c r="C16" t="s">
        <v>43</v>
      </c>
      <c r="D16" t="s">
        <v>21</v>
      </c>
      <c r="E16">
        <v>94546.99</v>
      </c>
      <c r="F16" s="1">
        <v>43437</v>
      </c>
      <c r="G16">
        <v>0.5</v>
      </c>
      <c r="H16" t="s">
        <v>17</v>
      </c>
      <c r="I16" t="s">
        <v>18</v>
      </c>
    </row>
    <row r="17" spans="1:9" x14ac:dyDescent="0.3">
      <c r="A17" t="s">
        <v>25</v>
      </c>
      <c r="B17">
        <v>72794</v>
      </c>
      <c r="C17" t="s">
        <v>44</v>
      </c>
      <c r="D17" t="s">
        <v>16</v>
      </c>
      <c r="E17">
        <v>90618.94</v>
      </c>
      <c r="F17" s="1">
        <v>42913</v>
      </c>
      <c r="G17">
        <v>0.5</v>
      </c>
      <c r="H17" t="s">
        <v>17</v>
      </c>
      <c r="I17" t="s">
        <v>13</v>
      </c>
    </row>
    <row r="18" spans="1:9" x14ac:dyDescent="0.3">
      <c r="A18" t="s">
        <v>33</v>
      </c>
      <c r="B18">
        <v>25205</v>
      </c>
      <c r="C18" t="s">
        <v>45</v>
      </c>
      <c r="D18" t="s">
        <v>24</v>
      </c>
      <c r="E18">
        <v>43623.64</v>
      </c>
      <c r="F18" s="1">
        <v>43216</v>
      </c>
      <c r="G18">
        <v>1</v>
      </c>
      <c r="H18" t="s">
        <v>17</v>
      </c>
      <c r="I18" t="s">
        <v>41</v>
      </c>
    </row>
    <row r="19" spans="1:9" x14ac:dyDescent="0.3">
      <c r="A19" t="s">
        <v>22</v>
      </c>
      <c r="B19">
        <v>75239</v>
      </c>
      <c r="C19" t="s">
        <v>46</v>
      </c>
      <c r="D19" t="s">
        <v>11</v>
      </c>
      <c r="E19">
        <v>118803.53</v>
      </c>
      <c r="F19" s="1">
        <v>45150</v>
      </c>
      <c r="G19">
        <v>1</v>
      </c>
      <c r="H19" t="s">
        <v>12</v>
      </c>
      <c r="I19" t="s">
        <v>13</v>
      </c>
    </row>
    <row r="20" spans="1:9" x14ac:dyDescent="0.3">
      <c r="A20" t="s">
        <v>47</v>
      </c>
      <c r="B20">
        <v>65906</v>
      </c>
      <c r="C20" t="s">
        <v>48</v>
      </c>
      <c r="D20" t="s">
        <v>31</v>
      </c>
      <c r="E20">
        <v>67002.62</v>
      </c>
      <c r="F20" s="1">
        <v>44052</v>
      </c>
      <c r="G20">
        <v>0.75</v>
      </c>
      <c r="H20" t="s">
        <v>17</v>
      </c>
      <c r="I20" t="s">
        <v>13</v>
      </c>
    </row>
    <row r="21" spans="1:9" x14ac:dyDescent="0.3">
      <c r="A21" t="s">
        <v>38</v>
      </c>
      <c r="B21">
        <v>14957</v>
      </c>
      <c r="C21" t="s">
        <v>49</v>
      </c>
      <c r="D21" t="s">
        <v>11</v>
      </c>
      <c r="E21">
        <v>85059.38</v>
      </c>
      <c r="F21" s="1">
        <v>42780</v>
      </c>
      <c r="G21">
        <v>1</v>
      </c>
      <c r="H21" t="s">
        <v>17</v>
      </c>
      <c r="I21" t="s">
        <v>13</v>
      </c>
    </row>
    <row r="22" spans="1:9" x14ac:dyDescent="0.3">
      <c r="A22" t="s">
        <v>22</v>
      </c>
      <c r="B22">
        <v>49571</v>
      </c>
      <c r="C22" t="s">
        <v>50</v>
      </c>
      <c r="D22" t="s">
        <v>16</v>
      </c>
      <c r="E22">
        <v>64801.47</v>
      </c>
      <c r="F22" s="1">
        <v>43668</v>
      </c>
      <c r="G22">
        <v>0.5</v>
      </c>
      <c r="H22" t="s">
        <v>17</v>
      </c>
      <c r="I22" t="s">
        <v>13</v>
      </c>
    </row>
    <row r="23" spans="1:9" x14ac:dyDescent="0.3">
      <c r="A23" t="s">
        <v>38</v>
      </c>
      <c r="B23">
        <v>53919</v>
      </c>
      <c r="C23" t="s">
        <v>51</v>
      </c>
      <c r="D23" t="s">
        <v>31</v>
      </c>
      <c r="E23">
        <v>34232.959999999999</v>
      </c>
      <c r="F23" s="1">
        <v>42681</v>
      </c>
      <c r="G23">
        <v>0.5</v>
      </c>
      <c r="H23" t="s">
        <v>17</v>
      </c>
      <c r="I23" t="s">
        <v>13</v>
      </c>
    </row>
    <row r="24" spans="1:9" x14ac:dyDescent="0.3">
      <c r="A24" t="s">
        <v>25</v>
      </c>
      <c r="B24">
        <v>30403</v>
      </c>
      <c r="C24" t="s">
        <v>52</v>
      </c>
      <c r="D24" t="s">
        <v>21</v>
      </c>
      <c r="E24">
        <v>72380.03</v>
      </c>
      <c r="F24" s="1">
        <v>44628</v>
      </c>
      <c r="G24">
        <v>1</v>
      </c>
      <c r="H24" t="s">
        <v>12</v>
      </c>
      <c r="I24" t="s">
        <v>13</v>
      </c>
    </row>
    <row r="25" spans="1:9" x14ac:dyDescent="0.3">
      <c r="A25" t="s">
        <v>27</v>
      </c>
      <c r="B25">
        <v>31830</v>
      </c>
      <c r="C25" t="s">
        <v>53</v>
      </c>
      <c r="D25" t="s">
        <v>11</v>
      </c>
      <c r="E25">
        <v>43623.1</v>
      </c>
      <c r="F25" s="1">
        <v>42216</v>
      </c>
      <c r="G25">
        <v>1</v>
      </c>
      <c r="H25" t="s">
        <v>17</v>
      </c>
      <c r="I25" t="s">
        <v>13</v>
      </c>
    </row>
    <row r="26" spans="1:9" x14ac:dyDescent="0.3">
      <c r="A26" t="s">
        <v>19</v>
      </c>
      <c r="B26">
        <v>92148</v>
      </c>
      <c r="C26" t="s">
        <v>54</v>
      </c>
      <c r="D26" t="s">
        <v>21</v>
      </c>
      <c r="E26">
        <v>32921.89</v>
      </c>
      <c r="F26" s="1">
        <v>42214</v>
      </c>
      <c r="G26">
        <v>0.5</v>
      </c>
      <c r="H26" t="s">
        <v>17</v>
      </c>
      <c r="I26" t="s">
        <v>13</v>
      </c>
    </row>
    <row r="27" spans="1:9" x14ac:dyDescent="0.3">
      <c r="A27" t="s">
        <v>14</v>
      </c>
      <c r="B27">
        <v>83988</v>
      </c>
      <c r="C27" t="s">
        <v>55</v>
      </c>
      <c r="D27" t="s">
        <v>37</v>
      </c>
      <c r="E27">
        <v>85566.04</v>
      </c>
      <c r="F27" s="1">
        <v>44759</v>
      </c>
      <c r="G27">
        <v>1</v>
      </c>
      <c r="H27" t="s">
        <v>17</v>
      </c>
      <c r="I27" t="s">
        <v>13</v>
      </c>
    </row>
    <row r="28" spans="1:9" x14ac:dyDescent="0.3">
      <c r="A28" t="s">
        <v>27</v>
      </c>
      <c r="B28">
        <v>59226</v>
      </c>
      <c r="C28" t="s">
        <v>56</v>
      </c>
      <c r="D28" t="s">
        <v>31</v>
      </c>
      <c r="E28">
        <v>86696.97</v>
      </c>
      <c r="F28" s="1">
        <v>44232</v>
      </c>
      <c r="G28">
        <v>1</v>
      </c>
      <c r="H28" t="s">
        <v>17</v>
      </c>
      <c r="I28" t="s">
        <v>18</v>
      </c>
    </row>
    <row r="29" spans="1:9" x14ac:dyDescent="0.3">
      <c r="A29" t="s">
        <v>38</v>
      </c>
      <c r="B29">
        <v>93739</v>
      </c>
      <c r="C29" t="s">
        <v>57</v>
      </c>
      <c r="D29" t="s">
        <v>16</v>
      </c>
      <c r="E29">
        <v>39476.35</v>
      </c>
      <c r="F29" s="1">
        <v>45306</v>
      </c>
      <c r="G29">
        <v>0.5</v>
      </c>
      <c r="H29" t="s">
        <v>12</v>
      </c>
      <c r="I29" t="s">
        <v>58</v>
      </c>
    </row>
    <row r="30" spans="1:9" x14ac:dyDescent="0.3">
      <c r="A30" t="s">
        <v>38</v>
      </c>
      <c r="B30">
        <v>21393</v>
      </c>
      <c r="C30" t="s">
        <v>59</v>
      </c>
      <c r="D30" t="s">
        <v>31</v>
      </c>
      <c r="E30">
        <v>79422.94</v>
      </c>
      <c r="F30" s="1">
        <v>44336</v>
      </c>
      <c r="G30">
        <v>0.75</v>
      </c>
      <c r="H30" t="s">
        <v>17</v>
      </c>
      <c r="I30" t="s">
        <v>60</v>
      </c>
    </row>
    <row r="31" spans="1:9" x14ac:dyDescent="0.3">
      <c r="A31" t="s">
        <v>27</v>
      </c>
      <c r="B31">
        <v>18629</v>
      </c>
      <c r="C31" t="s">
        <v>61</v>
      </c>
      <c r="D31" t="s">
        <v>11</v>
      </c>
      <c r="E31">
        <v>61200.12</v>
      </c>
      <c r="F31" s="1">
        <v>45244</v>
      </c>
      <c r="G31">
        <v>0.75</v>
      </c>
      <c r="H31" t="s">
        <v>12</v>
      </c>
      <c r="I31" t="s">
        <v>18</v>
      </c>
    </row>
    <row r="32" spans="1:9" x14ac:dyDescent="0.3">
      <c r="A32" t="s">
        <v>38</v>
      </c>
      <c r="B32">
        <v>21097</v>
      </c>
      <c r="C32" t="s">
        <v>62</v>
      </c>
      <c r="D32" t="s">
        <v>31</v>
      </c>
      <c r="E32">
        <v>64507.27</v>
      </c>
      <c r="F32" s="1">
        <v>42362</v>
      </c>
      <c r="G32">
        <v>1</v>
      </c>
      <c r="H32" t="s">
        <v>17</v>
      </c>
      <c r="I32" t="s">
        <v>58</v>
      </c>
    </row>
    <row r="33" spans="1:9" x14ac:dyDescent="0.3">
      <c r="A33" t="s">
        <v>38</v>
      </c>
      <c r="B33">
        <v>35957</v>
      </c>
      <c r="C33" t="s">
        <v>63</v>
      </c>
      <c r="D33" t="s">
        <v>11</v>
      </c>
      <c r="E33">
        <v>99877.79</v>
      </c>
      <c r="F33" s="1">
        <v>43438</v>
      </c>
      <c r="G33">
        <v>0.5</v>
      </c>
      <c r="H33" t="s">
        <v>17</v>
      </c>
      <c r="I33" t="s">
        <v>13</v>
      </c>
    </row>
    <row r="34" spans="1:9" x14ac:dyDescent="0.3">
      <c r="A34" t="s">
        <v>27</v>
      </c>
      <c r="B34">
        <v>38974</v>
      </c>
      <c r="C34" t="s">
        <v>64</v>
      </c>
      <c r="D34" t="s">
        <v>24</v>
      </c>
      <c r="E34">
        <v>74128.77</v>
      </c>
      <c r="F34" s="1">
        <v>44785</v>
      </c>
      <c r="G34">
        <v>0.5</v>
      </c>
      <c r="H34" t="s">
        <v>12</v>
      </c>
      <c r="I34" t="s">
        <v>13</v>
      </c>
    </row>
    <row r="35" spans="1:9" x14ac:dyDescent="0.3">
      <c r="A35" t="s">
        <v>33</v>
      </c>
      <c r="B35">
        <v>18015</v>
      </c>
      <c r="C35" t="s">
        <v>65</v>
      </c>
      <c r="D35" t="s">
        <v>24</v>
      </c>
      <c r="E35">
        <v>109314.9</v>
      </c>
      <c r="F35" s="1">
        <v>43215</v>
      </c>
      <c r="G35">
        <v>1</v>
      </c>
      <c r="H35" t="s">
        <v>17</v>
      </c>
      <c r="I35" t="s">
        <v>13</v>
      </c>
    </row>
    <row r="36" spans="1:9" x14ac:dyDescent="0.3">
      <c r="A36" t="s">
        <v>14</v>
      </c>
      <c r="B36">
        <v>60438</v>
      </c>
      <c r="C36" t="s">
        <v>66</v>
      </c>
      <c r="D36" t="s">
        <v>31</v>
      </c>
      <c r="E36">
        <v>84910.78</v>
      </c>
      <c r="F36" s="1">
        <v>42477</v>
      </c>
      <c r="G36">
        <v>1</v>
      </c>
      <c r="H36" t="s">
        <v>17</v>
      </c>
      <c r="I36" t="s">
        <v>13</v>
      </c>
    </row>
    <row r="37" spans="1:9" x14ac:dyDescent="0.3">
      <c r="A37" t="s">
        <v>38</v>
      </c>
      <c r="B37">
        <v>11029</v>
      </c>
      <c r="C37" t="s">
        <v>67</v>
      </c>
      <c r="D37" t="s">
        <v>16</v>
      </c>
      <c r="E37">
        <v>72046.960000000006</v>
      </c>
      <c r="F37" s="1">
        <v>43632</v>
      </c>
      <c r="G37">
        <v>0.75</v>
      </c>
      <c r="H37" t="s">
        <v>17</v>
      </c>
      <c r="I37" t="s">
        <v>13</v>
      </c>
    </row>
    <row r="38" spans="1:9" x14ac:dyDescent="0.3">
      <c r="A38" t="s">
        <v>25</v>
      </c>
      <c r="B38">
        <v>22855</v>
      </c>
      <c r="C38" t="s">
        <v>68</v>
      </c>
      <c r="D38" t="s">
        <v>31</v>
      </c>
      <c r="E38">
        <v>86908.14</v>
      </c>
      <c r="F38" s="1">
        <v>42665</v>
      </c>
      <c r="G38">
        <v>0.5</v>
      </c>
      <c r="H38" t="s">
        <v>17</v>
      </c>
      <c r="I38" t="s">
        <v>13</v>
      </c>
    </row>
    <row r="39" spans="1:9" x14ac:dyDescent="0.3">
      <c r="A39" t="s">
        <v>14</v>
      </c>
      <c r="B39">
        <v>61617</v>
      </c>
      <c r="C39" t="s">
        <v>69</v>
      </c>
      <c r="D39" t="s">
        <v>24</v>
      </c>
      <c r="E39">
        <v>60407.88</v>
      </c>
      <c r="F39" s="1">
        <v>44022</v>
      </c>
      <c r="G39">
        <v>1</v>
      </c>
      <c r="H39" t="s">
        <v>17</v>
      </c>
      <c r="I39" t="s">
        <v>13</v>
      </c>
    </row>
    <row r="40" spans="1:9" x14ac:dyDescent="0.3">
      <c r="A40" t="s">
        <v>19</v>
      </c>
      <c r="B40">
        <v>82938</v>
      </c>
      <c r="C40" t="s">
        <v>70</v>
      </c>
      <c r="D40" t="s">
        <v>11</v>
      </c>
      <c r="E40">
        <v>41189.14</v>
      </c>
      <c r="F40" s="1">
        <v>42374</v>
      </c>
      <c r="G40">
        <v>0.75</v>
      </c>
      <c r="H40" t="s">
        <v>17</v>
      </c>
      <c r="I40" t="s">
        <v>13</v>
      </c>
    </row>
    <row r="41" spans="1:9" x14ac:dyDescent="0.3">
      <c r="A41" t="s">
        <v>14</v>
      </c>
      <c r="B41">
        <v>78026</v>
      </c>
      <c r="C41" t="s">
        <v>71</v>
      </c>
      <c r="D41" t="s">
        <v>16</v>
      </c>
      <c r="E41">
        <v>91427.67</v>
      </c>
      <c r="F41" s="1">
        <v>42650</v>
      </c>
      <c r="G41">
        <v>0.75</v>
      </c>
      <c r="H41" t="s">
        <v>17</v>
      </c>
      <c r="I41" t="s">
        <v>13</v>
      </c>
    </row>
    <row r="42" spans="1:9" x14ac:dyDescent="0.3">
      <c r="A42" t="s">
        <v>47</v>
      </c>
      <c r="B42">
        <v>47987</v>
      </c>
      <c r="C42" t="s">
        <v>72</v>
      </c>
      <c r="D42" t="s">
        <v>37</v>
      </c>
      <c r="E42">
        <v>85983.37</v>
      </c>
      <c r="F42" s="1">
        <v>42141</v>
      </c>
      <c r="G42">
        <v>1</v>
      </c>
      <c r="H42" t="s">
        <v>17</v>
      </c>
      <c r="I42" t="s">
        <v>13</v>
      </c>
    </row>
    <row r="43" spans="1:9" x14ac:dyDescent="0.3">
      <c r="A43" t="s">
        <v>22</v>
      </c>
      <c r="B43">
        <v>68791</v>
      </c>
      <c r="C43" t="s">
        <v>73</v>
      </c>
      <c r="D43" t="s">
        <v>37</v>
      </c>
      <c r="E43">
        <v>100970.98</v>
      </c>
      <c r="F43" s="1">
        <v>42639</v>
      </c>
      <c r="G43">
        <v>1</v>
      </c>
      <c r="H43" t="s">
        <v>17</v>
      </c>
      <c r="I43" t="s">
        <v>13</v>
      </c>
    </row>
    <row r="44" spans="1:9" x14ac:dyDescent="0.3">
      <c r="A44" t="s">
        <v>19</v>
      </c>
      <c r="B44">
        <v>74044</v>
      </c>
      <c r="C44" t="s">
        <v>74</v>
      </c>
      <c r="D44" t="s">
        <v>11</v>
      </c>
      <c r="E44">
        <v>41439.82</v>
      </c>
      <c r="F44" s="1">
        <v>45433</v>
      </c>
      <c r="G44">
        <v>1</v>
      </c>
      <c r="H44" t="s">
        <v>35</v>
      </c>
      <c r="I44" t="s">
        <v>13</v>
      </c>
    </row>
    <row r="45" spans="1:9" x14ac:dyDescent="0.3">
      <c r="A45" t="s">
        <v>33</v>
      </c>
      <c r="B45">
        <v>86662</v>
      </c>
      <c r="C45" t="s">
        <v>75</v>
      </c>
      <c r="D45" t="s">
        <v>16</v>
      </c>
      <c r="E45">
        <v>112060.5</v>
      </c>
      <c r="F45" s="1">
        <v>45260</v>
      </c>
      <c r="G45">
        <v>1</v>
      </c>
      <c r="H45" t="s">
        <v>12</v>
      </c>
      <c r="I45" t="s">
        <v>76</v>
      </c>
    </row>
    <row r="46" spans="1:9" x14ac:dyDescent="0.3">
      <c r="A46" t="s">
        <v>33</v>
      </c>
      <c r="B46">
        <v>99037</v>
      </c>
      <c r="C46" t="s">
        <v>77</v>
      </c>
      <c r="D46" t="s">
        <v>31</v>
      </c>
      <c r="E46">
        <v>101940.71</v>
      </c>
      <c r="F46" s="1">
        <v>43022</v>
      </c>
      <c r="G46">
        <v>1</v>
      </c>
      <c r="H46" t="s">
        <v>17</v>
      </c>
      <c r="I46" t="s">
        <v>41</v>
      </c>
    </row>
    <row r="47" spans="1:9" x14ac:dyDescent="0.3">
      <c r="A47" t="s">
        <v>22</v>
      </c>
      <c r="B47">
        <v>38475</v>
      </c>
      <c r="C47" t="s">
        <v>78</v>
      </c>
      <c r="D47" t="s">
        <v>21</v>
      </c>
      <c r="E47">
        <v>112519.87</v>
      </c>
      <c r="F47" s="1">
        <v>41832</v>
      </c>
      <c r="G47">
        <v>1</v>
      </c>
      <c r="H47" t="s">
        <v>17</v>
      </c>
      <c r="I47" t="s">
        <v>18</v>
      </c>
    </row>
    <row r="48" spans="1:9" x14ac:dyDescent="0.3">
      <c r="A48" t="s">
        <v>27</v>
      </c>
      <c r="B48">
        <v>65448</v>
      </c>
      <c r="C48" t="s">
        <v>79</v>
      </c>
      <c r="D48" t="s">
        <v>21</v>
      </c>
      <c r="E48">
        <v>108528.12</v>
      </c>
      <c r="F48" s="1">
        <v>41994</v>
      </c>
      <c r="G48">
        <v>1</v>
      </c>
      <c r="H48" t="s">
        <v>17</v>
      </c>
      <c r="I48" t="s">
        <v>13</v>
      </c>
    </row>
    <row r="49" spans="1:9" x14ac:dyDescent="0.3">
      <c r="A49" t="s">
        <v>9</v>
      </c>
      <c r="B49">
        <v>20965</v>
      </c>
      <c r="C49" t="s">
        <v>80</v>
      </c>
      <c r="D49" t="s">
        <v>11</v>
      </c>
      <c r="E49">
        <v>91290.58</v>
      </c>
      <c r="F49" s="1">
        <v>44301</v>
      </c>
      <c r="G49">
        <v>1</v>
      </c>
      <c r="H49" t="s">
        <v>17</v>
      </c>
      <c r="I49" t="s">
        <v>41</v>
      </c>
    </row>
    <row r="50" spans="1:9" x14ac:dyDescent="0.3">
      <c r="A50" t="s">
        <v>27</v>
      </c>
      <c r="B50">
        <v>58277</v>
      </c>
      <c r="C50" t="s">
        <v>81</v>
      </c>
      <c r="D50" t="s">
        <v>31</v>
      </c>
      <c r="E50">
        <v>102922.58</v>
      </c>
      <c r="F50" s="1">
        <v>45258</v>
      </c>
      <c r="G50">
        <v>1</v>
      </c>
      <c r="H50" t="s">
        <v>12</v>
      </c>
      <c r="I50" t="s">
        <v>41</v>
      </c>
    </row>
    <row r="51" spans="1:9" x14ac:dyDescent="0.3">
      <c r="A51" t="s">
        <v>19</v>
      </c>
      <c r="B51">
        <v>38853</v>
      </c>
      <c r="C51" t="s">
        <v>82</v>
      </c>
      <c r="D51" t="s">
        <v>31</v>
      </c>
      <c r="E51">
        <v>76710.66</v>
      </c>
      <c r="F51" s="1">
        <v>44835</v>
      </c>
      <c r="G51">
        <v>0.75</v>
      </c>
      <c r="H51" t="s">
        <v>17</v>
      </c>
      <c r="I51" t="s">
        <v>13</v>
      </c>
    </row>
    <row r="52" spans="1:9" x14ac:dyDescent="0.3">
      <c r="A52" t="s">
        <v>38</v>
      </c>
      <c r="B52">
        <v>44198</v>
      </c>
      <c r="C52" t="s">
        <v>83</v>
      </c>
      <c r="D52" t="s">
        <v>37</v>
      </c>
      <c r="E52">
        <v>100694.02</v>
      </c>
      <c r="F52" s="1">
        <v>42454</v>
      </c>
      <c r="G52">
        <v>1</v>
      </c>
      <c r="H52" t="s">
        <v>17</v>
      </c>
      <c r="I52" t="s">
        <v>41</v>
      </c>
    </row>
    <row r="53" spans="1:9" x14ac:dyDescent="0.3">
      <c r="A53" t="s">
        <v>22</v>
      </c>
      <c r="B53">
        <v>86707</v>
      </c>
      <c r="C53" t="s">
        <v>84</v>
      </c>
      <c r="D53" t="s">
        <v>21</v>
      </c>
      <c r="E53">
        <v>47021.47</v>
      </c>
      <c r="F53" s="1">
        <v>44727</v>
      </c>
      <c r="G53">
        <v>1</v>
      </c>
      <c r="H53" t="s">
        <v>12</v>
      </c>
      <c r="I53" t="s">
        <v>18</v>
      </c>
    </row>
    <row r="54" spans="1:9" x14ac:dyDescent="0.3">
      <c r="A54" t="s">
        <v>22</v>
      </c>
      <c r="B54">
        <v>31834</v>
      </c>
      <c r="C54" t="s">
        <v>85</v>
      </c>
      <c r="D54" t="s">
        <v>31</v>
      </c>
      <c r="E54">
        <v>100390.27</v>
      </c>
      <c r="F54" s="1">
        <v>45265</v>
      </c>
      <c r="G54">
        <v>1</v>
      </c>
      <c r="H54" t="s">
        <v>12</v>
      </c>
      <c r="I54" t="s">
        <v>41</v>
      </c>
    </row>
    <row r="55" spans="1:9" x14ac:dyDescent="0.3">
      <c r="A55" t="s">
        <v>22</v>
      </c>
      <c r="B55">
        <v>66521</v>
      </c>
      <c r="C55" t="s">
        <v>86</v>
      </c>
      <c r="D55" t="s">
        <v>37</v>
      </c>
      <c r="E55">
        <v>70012.160000000003</v>
      </c>
      <c r="F55" s="1">
        <v>43946</v>
      </c>
      <c r="G55">
        <v>1</v>
      </c>
      <c r="H55" t="s">
        <v>17</v>
      </c>
      <c r="I55" t="s">
        <v>13</v>
      </c>
    </row>
    <row r="56" spans="1:9" x14ac:dyDescent="0.3">
      <c r="A56" t="s">
        <v>47</v>
      </c>
      <c r="B56">
        <v>35158</v>
      </c>
      <c r="C56" t="s">
        <v>87</v>
      </c>
      <c r="D56" t="s">
        <v>16</v>
      </c>
      <c r="E56">
        <v>98095.46</v>
      </c>
      <c r="F56" s="1">
        <v>43920</v>
      </c>
      <c r="G56">
        <v>1</v>
      </c>
      <c r="H56" t="s">
        <v>17</v>
      </c>
      <c r="I56" t="s">
        <v>13</v>
      </c>
    </row>
    <row r="57" spans="1:9" x14ac:dyDescent="0.3">
      <c r="A57" t="s">
        <v>27</v>
      </c>
      <c r="B57">
        <v>56991</v>
      </c>
      <c r="C57" t="s">
        <v>88</v>
      </c>
      <c r="D57" t="s">
        <v>11</v>
      </c>
      <c r="E57">
        <v>70992.320000000007</v>
      </c>
      <c r="F57" s="1">
        <v>42395</v>
      </c>
      <c r="G57">
        <v>1</v>
      </c>
      <c r="H57" t="s">
        <v>17</v>
      </c>
      <c r="I57" t="s">
        <v>13</v>
      </c>
    </row>
    <row r="58" spans="1:9" x14ac:dyDescent="0.3">
      <c r="A58" t="s">
        <v>9</v>
      </c>
      <c r="B58">
        <v>25074</v>
      </c>
      <c r="C58" t="s">
        <v>89</v>
      </c>
      <c r="D58" t="s">
        <v>24</v>
      </c>
      <c r="E58">
        <v>101060.29</v>
      </c>
      <c r="F58" s="1">
        <v>41820</v>
      </c>
      <c r="G58">
        <v>1</v>
      </c>
      <c r="H58" t="s">
        <v>17</v>
      </c>
      <c r="I58" t="s">
        <v>13</v>
      </c>
    </row>
    <row r="59" spans="1:9" x14ac:dyDescent="0.3">
      <c r="A59" t="s">
        <v>90</v>
      </c>
      <c r="B59">
        <v>18369</v>
      </c>
      <c r="C59" t="s">
        <v>91</v>
      </c>
      <c r="D59" t="s">
        <v>11</v>
      </c>
      <c r="E59">
        <v>36780.559999999998</v>
      </c>
      <c r="F59" s="1">
        <v>43290</v>
      </c>
      <c r="G59">
        <v>0.5</v>
      </c>
      <c r="H59" t="s">
        <v>17</v>
      </c>
      <c r="I59" t="s">
        <v>13</v>
      </c>
    </row>
    <row r="60" spans="1:9" x14ac:dyDescent="0.3">
      <c r="A60" t="s">
        <v>9</v>
      </c>
      <c r="B60">
        <v>13620</v>
      </c>
      <c r="C60" t="s">
        <v>92</v>
      </c>
      <c r="D60" t="s">
        <v>11</v>
      </c>
      <c r="E60">
        <v>34017.68</v>
      </c>
      <c r="F60" s="1">
        <v>43197</v>
      </c>
      <c r="G60">
        <v>1</v>
      </c>
      <c r="H60" t="s">
        <v>17</v>
      </c>
      <c r="I60" t="s">
        <v>13</v>
      </c>
    </row>
    <row r="61" spans="1:9" x14ac:dyDescent="0.3">
      <c r="A61" t="s">
        <v>33</v>
      </c>
      <c r="B61">
        <v>78919</v>
      </c>
      <c r="C61" t="s">
        <v>93</v>
      </c>
      <c r="D61" t="s">
        <v>37</v>
      </c>
      <c r="E61">
        <v>114086.06</v>
      </c>
      <c r="F61" s="1">
        <v>44881</v>
      </c>
      <c r="G61">
        <v>1</v>
      </c>
      <c r="H61" t="s">
        <v>12</v>
      </c>
      <c r="I61" t="s">
        <v>13</v>
      </c>
    </row>
    <row r="62" spans="1:9" x14ac:dyDescent="0.3">
      <c r="A62" t="s">
        <v>14</v>
      </c>
      <c r="B62">
        <v>69193</v>
      </c>
      <c r="C62" t="s">
        <v>94</v>
      </c>
      <c r="D62" t="s">
        <v>31</v>
      </c>
      <c r="E62">
        <v>73754.86</v>
      </c>
      <c r="F62" s="1">
        <v>43724</v>
      </c>
      <c r="G62">
        <v>1</v>
      </c>
      <c r="H62" t="s">
        <v>17</v>
      </c>
      <c r="I62" t="s">
        <v>13</v>
      </c>
    </row>
    <row r="63" spans="1:9" x14ac:dyDescent="0.3">
      <c r="A63" t="s">
        <v>9</v>
      </c>
      <c r="B63">
        <v>98725</v>
      </c>
      <c r="C63" t="s">
        <v>95</v>
      </c>
      <c r="D63" t="s">
        <v>16</v>
      </c>
      <c r="E63">
        <v>111096.43</v>
      </c>
      <c r="F63" s="1">
        <v>43494</v>
      </c>
      <c r="G63">
        <v>1</v>
      </c>
      <c r="H63" t="s">
        <v>17</v>
      </c>
      <c r="I63" t="s">
        <v>13</v>
      </c>
    </row>
    <row r="64" spans="1:9" x14ac:dyDescent="0.3">
      <c r="A64" t="s">
        <v>90</v>
      </c>
      <c r="B64">
        <v>36435</v>
      </c>
      <c r="C64" t="s">
        <v>96</v>
      </c>
      <c r="D64" t="s">
        <v>37</v>
      </c>
      <c r="E64">
        <v>115030.49</v>
      </c>
      <c r="F64" s="1">
        <v>43184</v>
      </c>
      <c r="G64">
        <v>1</v>
      </c>
      <c r="H64" t="s">
        <v>17</v>
      </c>
      <c r="I64" t="s">
        <v>13</v>
      </c>
    </row>
    <row r="65" spans="1:9" x14ac:dyDescent="0.3">
      <c r="A65" t="s">
        <v>25</v>
      </c>
      <c r="B65">
        <v>25585</v>
      </c>
      <c r="C65" t="s">
        <v>97</v>
      </c>
      <c r="D65" t="s">
        <v>31</v>
      </c>
      <c r="E65">
        <v>89986</v>
      </c>
      <c r="F65" s="1">
        <v>41844</v>
      </c>
      <c r="G65">
        <v>0.75</v>
      </c>
      <c r="H65" t="s">
        <v>17</v>
      </c>
      <c r="I65" t="s">
        <v>18</v>
      </c>
    </row>
    <row r="66" spans="1:9" x14ac:dyDescent="0.3">
      <c r="A66" t="s">
        <v>90</v>
      </c>
      <c r="B66">
        <v>75154</v>
      </c>
      <c r="C66" t="s">
        <v>98</v>
      </c>
      <c r="D66" t="s">
        <v>31</v>
      </c>
      <c r="E66">
        <v>81461.710000000006</v>
      </c>
      <c r="F66" s="1">
        <v>44868</v>
      </c>
      <c r="G66">
        <v>0.75</v>
      </c>
      <c r="H66" t="s">
        <v>12</v>
      </c>
      <c r="I66" t="s">
        <v>41</v>
      </c>
    </row>
    <row r="67" spans="1:9" x14ac:dyDescent="0.3">
      <c r="A67" t="s">
        <v>33</v>
      </c>
      <c r="B67">
        <v>62160</v>
      </c>
      <c r="C67" t="s">
        <v>99</v>
      </c>
      <c r="D67" t="s">
        <v>31</v>
      </c>
      <c r="E67">
        <v>49438.14</v>
      </c>
      <c r="F67" s="1">
        <v>43994</v>
      </c>
      <c r="G67">
        <v>0.5</v>
      </c>
      <c r="H67" t="s">
        <v>17</v>
      </c>
      <c r="I67" t="s">
        <v>13</v>
      </c>
    </row>
    <row r="68" spans="1:9" x14ac:dyDescent="0.3">
      <c r="A68" t="s">
        <v>19</v>
      </c>
      <c r="B68">
        <v>43617</v>
      </c>
      <c r="C68" t="s">
        <v>100</v>
      </c>
      <c r="D68" t="s">
        <v>16</v>
      </c>
      <c r="E68">
        <v>38412.86</v>
      </c>
      <c r="F68" s="1">
        <v>44951</v>
      </c>
      <c r="G68">
        <v>0.5</v>
      </c>
      <c r="H68" t="s">
        <v>35</v>
      </c>
      <c r="I68" t="s">
        <v>76</v>
      </c>
    </row>
    <row r="69" spans="1:9" x14ac:dyDescent="0.3">
      <c r="A69" t="s">
        <v>9</v>
      </c>
      <c r="B69">
        <v>37162</v>
      </c>
      <c r="C69" t="s">
        <v>101</v>
      </c>
      <c r="D69" t="s">
        <v>11</v>
      </c>
      <c r="E69">
        <v>103745.48</v>
      </c>
      <c r="F69" s="1">
        <v>43907</v>
      </c>
      <c r="G69">
        <v>1</v>
      </c>
      <c r="H69" t="s">
        <v>17</v>
      </c>
      <c r="I69" t="s">
        <v>18</v>
      </c>
    </row>
    <row r="70" spans="1:9" x14ac:dyDescent="0.3">
      <c r="A70" t="s">
        <v>38</v>
      </c>
      <c r="B70">
        <v>94016</v>
      </c>
      <c r="C70" t="s">
        <v>102</v>
      </c>
      <c r="D70" t="s">
        <v>37</v>
      </c>
      <c r="E70">
        <v>109989.49</v>
      </c>
      <c r="F70" s="1">
        <v>42358</v>
      </c>
      <c r="G70">
        <v>1</v>
      </c>
      <c r="H70" t="s">
        <v>17</v>
      </c>
      <c r="I70" t="s">
        <v>13</v>
      </c>
    </row>
    <row r="71" spans="1:9" x14ac:dyDescent="0.3">
      <c r="A71" t="s">
        <v>38</v>
      </c>
      <c r="B71">
        <v>15518</v>
      </c>
      <c r="C71" t="s">
        <v>103</v>
      </c>
      <c r="D71" t="s">
        <v>24</v>
      </c>
      <c r="E71">
        <v>100145.61</v>
      </c>
      <c r="F71" s="1">
        <v>42270</v>
      </c>
      <c r="G71">
        <v>1</v>
      </c>
      <c r="H71" t="s">
        <v>17</v>
      </c>
      <c r="I71" t="s">
        <v>13</v>
      </c>
    </row>
    <row r="72" spans="1:9" x14ac:dyDescent="0.3">
      <c r="A72" t="s">
        <v>38</v>
      </c>
      <c r="B72">
        <v>38297</v>
      </c>
      <c r="C72" t="s">
        <v>104</v>
      </c>
      <c r="D72" t="s">
        <v>37</v>
      </c>
      <c r="E72">
        <v>92865.22</v>
      </c>
      <c r="F72" s="1">
        <v>43682</v>
      </c>
      <c r="G72">
        <v>0.5</v>
      </c>
      <c r="H72" t="s">
        <v>17</v>
      </c>
      <c r="I72" t="s">
        <v>13</v>
      </c>
    </row>
    <row r="73" spans="1:9" x14ac:dyDescent="0.3">
      <c r="A73" t="s">
        <v>90</v>
      </c>
      <c r="B73">
        <v>91712</v>
      </c>
      <c r="C73" t="s">
        <v>105</v>
      </c>
      <c r="D73" t="s">
        <v>37</v>
      </c>
      <c r="E73">
        <v>67810</v>
      </c>
      <c r="F73" s="1">
        <v>45353</v>
      </c>
      <c r="G73">
        <v>0.75</v>
      </c>
      <c r="H73" t="s">
        <v>17</v>
      </c>
      <c r="I73" t="s">
        <v>13</v>
      </c>
    </row>
    <row r="74" spans="1:9" x14ac:dyDescent="0.3">
      <c r="A74" t="s">
        <v>9</v>
      </c>
      <c r="B74">
        <v>29182</v>
      </c>
      <c r="C74" t="s">
        <v>106</v>
      </c>
      <c r="D74" t="s">
        <v>24</v>
      </c>
      <c r="E74">
        <v>57478.04</v>
      </c>
      <c r="F74" s="1">
        <v>44413</v>
      </c>
      <c r="G74">
        <v>0.75</v>
      </c>
      <c r="H74" t="s">
        <v>12</v>
      </c>
      <c r="I74" t="s">
        <v>13</v>
      </c>
    </row>
    <row r="75" spans="1:9" x14ac:dyDescent="0.3">
      <c r="A75" t="s">
        <v>22</v>
      </c>
      <c r="B75">
        <v>23714</v>
      </c>
      <c r="C75" t="s">
        <v>107</v>
      </c>
      <c r="D75" t="s">
        <v>31</v>
      </c>
      <c r="E75">
        <v>40210.04</v>
      </c>
      <c r="F75" s="1">
        <v>43194</v>
      </c>
      <c r="G75">
        <v>1</v>
      </c>
      <c r="H75" t="s">
        <v>17</v>
      </c>
      <c r="I75" t="s">
        <v>13</v>
      </c>
    </row>
    <row r="76" spans="1:9" x14ac:dyDescent="0.3">
      <c r="A76" t="s">
        <v>90</v>
      </c>
      <c r="B76">
        <v>35948</v>
      </c>
      <c r="C76" t="s">
        <v>108</v>
      </c>
      <c r="D76" t="s">
        <v>11</v>
      </c>
      <c r="E76">
        <v>68337.320000000007</v>
      </c>
      <c r="F76" s="1">
        <v>44072</v>
      </c>
      <c r="G76">
        <v>0.75</v>
      </c>
      <c r="H76" t="s">
        <v>17</v>
      </c>
      <c r="I76" t="s">
        <v>13</v>
      </c>
    </row>
    <row r="77" spans="1:9" x14ac:dyDescent="0.3">
      <c r="A77" t="s">
        <v>27</v>
      </c>
      <c r="B77">
        <v>70084</v>
      </c>
      <c r="C77" t="s">
        <v>109</v>
      </c>
      <c r="D77" t="s">
        <v>11</v>
      </c>
      <c r="E77">
        <v>80941.17</v>
      </c>
      <c r="F77" s="1">
        <v>44157</v>
      </c>
      <c r="G77">
        <v>0.75</v>
      </c>
      <c r="H77" t="s">
        <v>17</v>
      </c>
      <c r="I77" t="s">
        <v>13</v>
      </c>
    </row>
    <row r="78" spans="1:9" x14ac:dyDescent="0.3">
      <c r="A78" t="s">
        <v>38</v>
      </c>
      <c r="B78">
        <v>59549</v>
      </c>
      <c r="C78" t="s">
        <v>110</v>
      </c>
      <c r="D78" t="s">
        <v>24</v>
      </c>
      <c r="E78">
        <v>113059.25</v>
      </c>
      <c r="F78" s="1">
        <v>42692</v>
      </c>
      <c r="G78">
        <v>1</v>
      </c>
      <c r="H78" t="s">
        <v>17</v>
      </c>
      <c r="I78" t="s">
        <v>13</v>
      </c>
    </row>
    <row r="79" spans="1:9" x14ac:dyDescent="0.3">
      <c r="A79" t="s">
        <v>22</v>
      </c>
      <c r="B79">
        <v>57401</v>
      </c>
      <c r="C79" t="s">
        <v>111</v>
      </c>
      <c r="D79" t="s">
        <v>11</v>
      </c>
      <c r="E79">
        <v>114217.93</v>
      </c>
      <c r="F79" s="1">
        <v>43228</v>
      </c>
      <c r="G79">
        <v>1</v>
      </c>
      <c r="H79" t="s">
        <v>17</v>
      </c>
      <c r="I79" t="s">
        <v>13</v>
      </c>
    </row>
    <row r="80" spans="1:9" x14ac:dyDescent="0.3">
      <c r="A80" t="s">
        <v>19</v>
      </c>
      <c r="B80">
        <v>81616</v>
      </c>
      <c r="C80" t="s">
        <v>112</v>
      </c>
      <c r="D80" t="s">
        <v>21</v>
      </c>
      <c r="E80">
        <v>67407.710000000006</v>
      </c>
      <c r="F80" s="1">
        <v>43577</v>
      </c>
      <c r="G80">
        <v>0.5</v>
      </c>
      <c r="H80" t="s">
        <v>17</v>
      </c>
      <c r="I80" t="s">
        <v>13</v>
      </c>
    </row>
    <row r="81" spans="1:9" x14ac:dyDescent="0.3">
      <c r="A81" t="s">
        <v>14</v>
      </c>
      <c r="B81">
        <v>29835</v>
      </c>
      <c r="C81" t="s">
        <v>113</v>
      </c>
      <c r="D81" t="s">
        <v>11</v>
      </c>
      <c r="E81">
        <v>38928.99</v>
      </c>
      <c r="F81" s="1">
        <v>43027</v>
      </c>
      <c r="G81">
        <v>0.75</v>
      </c>
      <c r="H81" t="s">
        <v>17</v>
      </c>
      <c r="I81" t="s">
        <v>13</v>
      </c>
    </row>
    <row r="82" spans="1:9" x14ac:dyDescent="0.3">
      <c r="A82" t="s">
        <v>47</v>
      </c>
      <c r="B82">
        <v>23729</v>
      </c>
      <c r="C82" t="s">
        <v>114</v>
      </c>
      <c r="D82" t="s">
        <v>11</v>
      </c>
      <c r="E82">
        <v>99643.69</v>
      </c>
      <c r="F82" s="1">
        <v>44778</v>
      </c>
      <c r="G82">
        <v>0.5</v>
      </c>
      <c r="H82" t="s">
        <v>17</v>
      </c>
      <c r="I82" t="s">
        <v>76</v>
      </c>
    </row>
    <row r="83" spans="1:9" x14ac:dyDescent="0.3">
      <c r="A83" t="s">
        <v>90</v>
      </c>
      <c r="B83">
        <v>88150</v>
      </c>
      <c r="C83" t="s">
        <v>115</v>
      </c>
      <c r="D83" t="s">
        <v>21</v>
      </c>
      <c r="E83">
        <v>96085.14</v>
      </c>
      <c r="F83" s="1">
        <v>44020</v>
      </c>
      <c r="G83">
        <v>1</v>
      </c>
      <c r="H83" t="s">
        <v>17</v>
      </c>
      <c r="I83" t="s">
        <v>60</v>
      </c>
    </row>
    <row r="84" spans="1:9" x14ac:dyDescent="0.3">
      <c r="A84" t="s">
        <v>25</v>
      </c>
      <c r="B84">
        <v>73950</v>
      </c>
      <c r="C84" t="s">
        <v>116</v>
      </c>
      <c r="D84" t="s">
        <v>11</v>
      </c>
      <c r="E84">
        <v>32763.08</v>
      </c>
      <c r="F84" s="1">
        <v>43546</v>
      </c>
      <c r="G84">
        <v>0.75</v>
      </c>
      <c r="H84" t="s">
        <v>17</v>
      </c>
      <c r="I84" t="s">
        <v>13</v>
      </c>
    </row>
    <row r="85" spans="1:9" x14ac:dyDescent="0.3">
      <c r="A85" t="s">
        <v>22</v>
      </c>
      <c r="B85">
        <v>29451</v>
      </c>
      <c r="C85" t="s">
        <v>117</v>
      </c>
      <c r="D85" t="s">
        <v>21</v>
      </c>
      <c r="E85">
        <v>70204.67</v>
      </c>
      <c r="F85" s="1">
        <v>44177</v>
      </c>
      <c r="G85">
        <v>0.75</v>
      </c>
      <c r="H85" t="s">
        <v>17</v>
      </c>
      <c r="I85" t="s">
        <v>13</v>
      </c>
    </row>
    <row r="86" spans="1:9" x14ac:dyDescent="0.3">
      <c r="A86" t="s">
        <v>90</v>
      </c>
      <c r="B86">
        <v>83912</v>
      </c>
      <c r="C86" t="s">
        <v>118</v>
      </c>
      <c r="D86" t="s">
        <v>37</v>
      </c>
      <c r="E86">
        <v>91777.63</v>
      </c>
      <c r="F86" s="1">
        <v>42592</v>
      </c>
      <c r="G86">
        <v>0.75</v>
      </c>
      <c r="H86" t="s">
        <v>17</v>
      </c>
      <c r="I86" t="s">
        <v>13</v>
      </c>
    </row>
    <row r="87" spans="1:9" x14ac:dyDescent="0.3">
      <c r="A87" t="s">
        <v>14</v>
      </c>
      <c r="B87">
        <v>63203</v>
      </c>
      <c r="C87" t="s">
        <v>119</v>
      </c>
      <c r="D87" t="s">
        <v>24</v>
      </c>
      <c r="E87">
        <v>32712.080000000002</v>
      </c>
      <c r="F87" s="1">
        <v>42531</v>
      </c>
      <c r="G87">
        <v>1</v>
      </c>
      <c r="H87" t="s">
        <v>17</v>
      </c>
      <c r="I87" t="s">
        <v>13</v>
      </c>
    </row>
    <row r="88" spans="1:9" x14ac:dyDescent="0.3">
      <c r="A88" t="s">
        <v>33</v>
      </c>
      <c r="B88">
        <v>93671</v>
      </c>
      <c r="C88" t="s">
        <v>120</v>
      </c>
      <c r="D88" t="s">
        <v>16</v>
      </c>
      <c r="E88">
        <v>112735.41</v>
      </c>
      <c r="F88" s="1">
        <v>44281</v>
      </c>
      <c r="G88">
        <v>1</v>
      </c>
      <c r="H88" t="s">
        <v>12</v>
      </c>
      <c r="I88" t="s">
        <v>13</v>
      </c>
    </row>
    <row r="89" spans="1:9" x14ac:dyDescent="0.3">
      <c r="A89" t="s">
        <v>27</v>
      </c>
      <c r="B89">
        <v>99119</v>
      </c>
      <c r="C89" t="s">
        <v>121</v>
      </c>
      <c r="D89" t="s">
        <v>16</v>
      </c>
      <c r="E89">
        <v>116601.82</v>
      </c>
      <c r="F89" s="1">
        <v>43995</v>
      </c>
      <c r="G89">
        <v>1</v>
      </c>
      <c r="H89" t="s">
        <v>17</v>
      </c>
      <c r="I89" t="s">
        <v>13</v>
      </c>
    </row>
    <row r="90" spans="1:9" x14ac:dyDescent="0.3">
      <c r="A90" t="s">
        <v>25</v>
      </c>
      <c r="B90">
        <v>65474</v>
      </c>
      <c r="C90" t="s">
        <v>122</v>
      </c>
      <c r="D90" t="s">
        <v>21</v>
      </c>
      <c r="E90">
        <v>95028.85</v>
      </c>
      <c r="F90" s="1">
        <v>44897</v>
      </c>
      <c r="G90">
        <v>0.75</v>
      </c>
      <c r="H90" t="s">
        <v>12</v>
      </c>
      <c r="I90" t="s">
        <v>13</v>
      </c>
    </row>
    <row r="91" spans="1:9" x14ac:dyDescent="0.3">
      <c r="A91" t="s">
        <v>25</v>
      </c>
      <c r="B91">
        <v>78318</v>
      </c>
      <c r="C91" t="s">
        <v>123</v>
      </c>
      <c r="D91" t="s">
        <v>24</v>
      </c>
      <c r="E91">
        <v>37068.47</v>
      </c>
      <c r="F91" s="1">
        <v>44715</v>
      </c>
      <c r="G91">
        <v>1</v>
      </c>
      <c r="H91" t="s">
        <v>17</v>
      </c>
      <c r="I91" t="s">
        <v>13</v>
      </c>
    </row>
    <row r="92" spans="1:9" x14ac:dyDescent="0.3">
      <c r="A92" t="s">
        <v>14</v>
      </c>
      <c r="B92">
        <v>74933</v>
      </c>
      <c r="C92" t="s">
        <v>124</v>
      </c>
      <c r="D92" t="s">
        <v>37</v>
      </c>
      <c r="E92">
        <v>36329.65</v>
      </c>
      <c r="F92" s="1">
        <v>43209</v>
      </c>
      <c r="G92">
        <v>0.5</v>
      </c>
      <c r="H92" t="s">
        <v>17</v>
      </c>
      <c r="I92" t="s">
        <v>13</v>
      </c>
    </row>
    <row r="93" spans="1:9" x14ac:dyDescent="0.3">
      <c r="A93" t="s">
        <v>38</v>
      </c>
      <c r="B93">
        <v>99039</v>
      </c>
      <c r="C93" t="s">
        <v>125</v>
      </c>
      <c r="D93" t="s">
        <v>31</v>
      </c>
      <c r="E93">
        <v>62332.800000000003</v>
      </c>
      <c r="F93" s="1">
        <v>44112</v>
      </c>
      <c r="G93">
        <v>0.5</v>
      </c>
      <c r="H93" t="s">
        <v>17</v>
      </c>
      <c r="I93" t="s">
        <v>58</v>
      </c>
    </row>
    <row r="94" spans="1:9" x14ac:dyDescent="0.3">
      <c r="A94" t="s">
        <v>14</v>
      </c>
      <c r="B94">
        <v>52265</v>
      </c>
      <c r="C94" t="s">
        <v>126</v>
      </c>
      <c r="D94" t="s">
        <v>16</v>
      </c>
      <c r="E94">
        <v>32643.98</v>
      </c>
      <c r="F94" s="1">
        <v>44018</v>
      </c>
      <c r="G94">
        <v>1</v>
      </c>
      <c r="H94" t="s">
        <v>17</v>
      </c>
      <c r="I94" t="s">
        <v>13</v>
      </c>
    </row>
    <row r="95" spans="1:9" x14ac:dyDescent="0.3">
      <c r="A95" t="s">
        <v>14</v>
      </c>
      <c r="B95">
        <v>75331</v>
      </c>
      <c r="C95" t="s">
        <v>127</v>
      </c>
      <c r="D95" t="s">
        <v>16</v>
      </c>
      <c r="E95">
        <v>61309</v>
      </c>
      <c r="F95" s="1">
        <v>44472</v>
      </c>
      <c r="G95">
        <v>0.5</v>
      </c>
      <c r="H95" t="s">
        <v>17</v>
      </c>
      <c r="I95" t="s">
        <v>13</v>
      </c>
    </row>
    <row r="96" spans="1:9" x14ac:dyDescent="0.3">
      <c r="A96" t="s">
        <v>90</v>
      </c>
      <c r="B96">
        <v>75358</v>
      </c>
      <c r="C96" t="s">
        <v>128</v>
      </c>
      <c r="D96" t="s">
        <v>37</v>
      </c>
      <c r="E96">
        <v>30896.78</v>
      </c>
      <c r="F96" s="1">
        <v>43512</v>
      </c>
      <c r="G96">
        <v>1</v>
      </c>
      <c r="H96" t="s">
        <v>17</v>
      </c>
      <c r="I96" t="s">
        <v>13</v>
      </c>
    </row>
    <row r="97" spans="1:9" x14ac:dyDescent="0.3">
      <c r="A97" t="s">
        <v>25</v>
      </c>
      <c r="B97">
        <v>93239</v>
      </c>
      <c r="C97" t="s">
        <v>129</v>
      </c>
      <c r="D97" t="s">
        <v>37</v>
      </c>
      <c r="E97">
        <v>117689.12</v>
      </c>
      <c r="F97" s="1">
        <v>44021</v>
      </c>
      <c r="G97">
        <v>1</v>
      </c>
      <c r="H97" t="s">
        <v>17</v>
      </c>
      <c r="I97" t="s">
        <v>13</v>
      </c>
    </row>
    <row r="98" spans="1:9" x14ac:dyDescent="0.3">
      <c r="A98" t="s">
        <v>25</v>
      </c>
      <c r="B98">
        <v>97827</v>
      </c>
      <c r="C98" t="s">
        <v>130</v>
      </c>
      <c r="D98" t="s">
        <v>37</v>
      </c>
      <c r="E98">
        <v>103710.6</v>
      </c>
      <c r="F98" s="1">
        <v>44279</v>
      </c>
      <c r="G98">
        <v>1</v>
      </c>
      <c r="H98" t="s">
        <v>17</v>
      </c>
      <c r="I98" t="s">
        <v>13</v>
      </c>
    </row>
    <row r="99" spans="1:9" x14ac:dyDescent="0.3">
      <c r="A99" t="s">
        <v>47</v>
      </c>
      <c r="B99">
        <v>36475</v>
      </c>
      <c r="C99" t="s">
        <v>131</v>
      </c>
      <c r="D99" t="s">
        <v>37</v>
      </c>
      <c r="E99">
        <v>36346.589999999997</v>
      </c>
      <c r="F99" s="1">
        <v>43548</v>
      </c>
      <c r="G99">
        <v>0.5</v>
      </c>
      <c r="H99" t="s">
        <v>17</v>
      </c>
      <c r="I99" t="s">
        <v>13</v>
      </c>
    </row>
    <row r="100" spans="1:9" x14ac:dyDescent="0.3">
      <c r="A100" t="s">
        <v>14</v>
      </c>
      <c r="B100">
        <v>81147</v>
      </c>
      <c r="C100" t="s">
        <v>132</v>
      </c>
      <c r="D100" t="s">
        <v>11</v>
      </c>
      <c r="E100">
        <v>110409.16</v>
      </c>
      <c r="F100" s="1">
        <v>42443</v>
      </c>
      <c r="G100">
        <v>1</v>
      </c>
      <c r="H100" t="s">
        <v>17</v>
      </c>
      <c r="I100" t="s">
        <v>13</v>
      </c>
    </row>
    <row r="101" spans="1:9" x14ac:dyDescent="0.3">
      <c r="A101" t="s">
        <v>22</v>
      </c>
      <c r="B101">
        <v>89923</v>
      </c>
      <c r="C101" t="s">
        <v>133</v>
      </c>
      <c r="D101" t="s">
        <v>31</v>
      </c>
      <c r="E101">
        <v>48718.02</v>
      </c>
      <c r="F101" s="1">
        <v>44769</v>
      </c>
      <c r="G101">
        <v>0.5</v>
      </c>
      <c r="H101" t="s">
        <v>12</v>
      </c>
      <c r="I101" t="s">
        <v>13</v>
      </c>
    </row>
    <row r="102" spans="1:9" x14ac:dyDescent="0.3">
      <c r="A102" t="s">
        <v>90</v>
      </c>
      <c r="B102">
        <v>38675</v>
      </c>
      <c r="C102" t="s">
        <v>134</v>
      </c>
      <c r="D102" t="s">
        <v>37</v>
      </c>
      <c r="E102">
        <v>48431.17</v>
      </c>
      <c r="F102" s="1">
        <v>43599</v>
      </c>
      <c r="G102">
        <v>0.75</v>
      </c>
      <c r="H102" t="s">
        <v>17</v>
      </c>
      <c r="I102" t="s">
        <v>13</v>
      </c>
    </row>
    <row r="103" spans="1:9" x14ac:dyDescent="0.3">
      <c r="A103" t="s">
        <v>25</v>
      </c>
      <c r="B103">
        <v>11272</v>
      </c>
      <c r="C103" t="s">
        <v>135</v>
      </c>
      <c r="D103" t="s">
        <v>24</v>
      </c>
      <c r="E103">
        <v>90638.32</v>
      </c>
      <c r="F103" s="1">
        <v>42538</v>
      </c>
      <c r="G103">
        <v>1</v>
      </c>
      <c r="H103" t="s">
        <v>17</v>
      </c>
      <c r="I103" t="s">
        <v>13</v>
      </c>
    </row>
    <row r="104" spans="1:9" x14ac:dyDescent="0.3">
      <c r="A104" t="s">
        <v>25</v>
      </c>
      <c r="B104">
        <v>54593</v>
      </c>
      <c r="C104" t="s">
        <v>136</v>
      </c>
      <c r="D104" t="s">
        <v>31</v>
      </c>
      <c r="E104">
        <v>114443.6</v>
      </c>
      <c r="F104" s="1">
        <v>44560</v>
      </c>
      <c r="G104">
        <v>1</v>
      </c>
      <c r="H104" t="s">
        <v>17</v>
      </c>
      <c r="I104" t="s">
        <v>13</v>
      </c>
    </row>
    <row r="105" spans="1:9" x14ac:dyDescent="0.3">
      <c r="A105" t="s">
        <v>9</v>
      </c>
      <c r="B105">
        <v>51714</v>
      </c>
      <c r="C105" t="s">
        <v>137</v>
      </c>
      <c r="D105" t="s">
        <v>31</v>
      </c>
      <c r="E105">
        <v>41086.93</v>
      </c>
      <c r="F105" s="1">
        <v>42747</v>
      </c>
      <c r="G105">
        <v>1</v>
      </c>
      <c r="H105" t="s">
        <v>17</v>
      </c>
      <c r="I105" t="s">
        <v>13</v>
      </c>
    </row>
    <row r="106" spans="1:9" x14ac:dyDescent="0.3">
      <c r="A106" t="s">
        <v>14</v>
      </c>
      <c r="B106">
        <v>52182</v>
      </c>
      <c r="C106" t="s">
        <v>138</v>
      </c>
      <c r="D106" t="s">
        <v>37</v>
      </c>
      <c r="E106">
        <v>30646.61</v>
      </c>
      <c r="F106" s="1">
        <v>43926</v>
      </c>
      <c r="G106">
        <v>1</v>
      </c>
      <c r="H106" t="s">
        <v>17</v>
      </c>
      <c r="I106" t="s">
        <v>13</v>
      </c>
    </row>
    <row r="107" spans="1:9" x14ac:dyDescent="0.3">
      <c r="A107" t="s">
        <v>19</v>
      </c>
      <c r="B107">
        <v>14648</v>
      </c>
      <c r="C107" t="s">
        <v>139</v>
      </c>
      <c r="D107" t="s">
        <v>16</v>
      </c>
      <c r="E107">
        <v>63221.71</v>
      </c>
      <c r="F107" s="1">
        <v>43302</v>
      </c>
      <c r="G107">
        <v>1</v>
      </c>
      <c r="H107" t="s">
        <v>17</v>
      </c>
      <c r="I107" t="s">
        <v>13</v>
      </c>
    </row>
    <row r="108" spans="1:9" x14ac:dyDescent="0.3">
      <c r="A108" t="s">
        <v>25</v>
      </c>
      <c r="B108">
        <v>78826</v>
      </c>
      <c r="C108" t="s">
        <v>140</v>
      </c>
      <c r="D108" t="s">
        <v>16</v>
      </c>
      <c r="E108">
        <v>32218.5</v>
      </c>
      <c r="F108" s="1">
        <v>42950</v>
      </c>
      <c r="G108">
        <v>0.75</v>
      </c>
      <c r="H108" t="s">
        <v>17</v>
      </c>
      <c r="I108" t="s">
        <v>13</v>
      </c>
    </row>
    <row r="109" spans="1:9" x14ac:dyDescent="0.3">
      <c r="A109" t="s">
        <v>25</v>
      </c>
      <c r="B109">
        <v>29446</v>
      </c>
      <c r="C109" t="s">
        <v>141</v>
      </c>
      <c r="D109" t="s">
        <v>24</v>
      </c>
      <c r="E109">
        <v>84436.34</v>
      </c>
      <c r="F109" s="1">
        <v>43889</v>
      </c>
      <c r="G109">
        <v>0.5</v>
      </c>
      <c r="H109" t="s">
        <v>17</v>
      </c>
      <c r="I109" t="s">
        <v>18</v>
      </c>
    </row>
    <row r="110" spans="1:9" x14ac:dyDescent="0.3">
      <c r="A110" t="s">
        <v>38</v>
      </c>
      <c r="B110">
        <v>43670</v>
      </c>
      <c r="C110" t="s">
        <v>142</v>
      </c>
      <c r="D110" t="s">
        <v>37</v>
      </c>
      <c r="E110">
        <v>107325.8</v>
      </c>
      <c r="F110" s="1">
        <v>44891</v>
      </c>
      <c r="G110">
        <v>1</v>
      </c>
      <c r="H110" t="s">
        <v>12</v>
      </c>
      <c r="I110" t="s">
        <v>58</v>
      </c>
    </row>
    <row r="111" spans="1:9" x14ac:dyDescent="0.3">
      <c r="A111" t="s">
        <v>27</v>
      </c>
      <c r="B111">
        <v>88982</v>
      </c>
      <c r="C111" t="s">
        <v>143</v>
      </c>
      <c r="D111" t="s">
        <v>37</v>
      </c>
      <c r="E111">
        <v>46829.25</v>
      </c>
      <c r="F111" s="1">
        <v>43210</v>
      </c>
      <c r="G111">
        <v>1</v>
      </c>
      <c r="H111" t="s">
        <v>17</v>
      </c>
      <c r="I111" t="s">
        <v>144</v>
      </c>
    </row>
    <row r="112" spans="1:9" x14ac:dyDescent="0.3">
      <c r="A112" t="s">
        <v>47</v>
      </c>
      <c r="B112">
        <v>30434</v>
      </c>
      <c r="C112" t="s">
        <v>145</v>
      </c>
      <c r="D112" t="s">
        <v>21</v>
      </c>
      <c r="E112">
        <v>40115.19</v>
      </c>
      <c r="F112" s="1">
        <v>42472</v>
      </c>
      <c r="G112">
        <v>0.5</v>
      </c>
      <c r="H112" t="s">
        <v>17</v>
      </c>
      <c r="I112" t="s">
        <v>58</v>
      </c>
    </row>
    <row r="113" spans="1:9" x14ac:dyDescent="0.3">
      <c r="A113" t="s">
        <v>27</v>
      </c>
      <c r="B113">
        <v>59676</v>
      </c>
      <c r="C113" t="s">
        <v>146</v>
      </c>
      <c r="D113" t="s">
        <v>24</v>
      </c>
      <c r="E113">
        <v>61000.46</v>
      </c>
      <c r="F113" s="1">
        <v>44174</v>
      </c>
      <c r="G113">
        <v>1</v>
      </c>
      <c r="H113" t="s">
        <v>17</v>
      </c>
      <c r="I113" t="s">
        <v>58</v>
      </c>
    </row>
    <row r="114" spans="1:9" x14ac:dyDescent="0.3">
      <c r="A114" t="s">
        <v>14</v>
      </c>
      <c r="B114">
        <v>86408</v>
      </c>
      <c r="C114" t="s">
        <v>147</v>
      </c>
      <c r="D114" t="s">
        <v>16</v>
      </c>
      <c r="E114">
        <v>116325.44</v>
      </c>
      <c r="F114" s="1">
        <v>44204</v>
      </c>
      <c r="G114">
        <v>1</v>
      </c>
      <c r="H114" t="s">
        <v>12</v>
      </c>
      <c r="I114" t="s">
        <v>58</v>
      </c>
    </row>
    <row r="115" spans="1:9" x14ac:dyDescent="0.3">
      <c r="A115" t="s">
        <v>9</v>
      </c>
      <c r="B115">
        <v>48585</v>
      </c>
      <c r="C115" t="s">
        <v>148</v>
      </c>
      <c r="D115" t="s">
        <v>37</v>
      </c>
      <c r="E115">
        <v>41714.19</v>
      </c>
      <c r="F115" s="1">
        <v>44677</v>
      </c>
      <c r="G115">
        <v>0.5</v>
      </c>
      <c r="H115" t="s">
        <v>12</v>
      </c>
      <c r="I115" t="s">
        <v>13</v>
      </c>
    </row>
    <row r="116" spans="1:9" x14ac:dyDescent="0.3">
      <c r="A116" t="s">
        <v>14</v>
      </c>
      <c r="B116">
        <v>71660</v>
      </c>
      <c r="C116" t="s">
        <v>149</v>
      </c>
      <c r="D116" t="s">
        <v>31</v>
      </c>
      <c r="E116">
        <v>116986.73</v>
      </c>
      <c r="F116" s="1">
        <v>44979</v>
      </c>
      <c r="G116">
        <v>1</v>
      </c>
      <c r="H116" t="s">
        <v>12</v>
      </c>
      <c r="I116" t="s">
        <v>13</v>
      </c>
    </row>
    <row r="117" spans="1:9" x14ac:dyDescent="0.3">
      <c r="A117" t="s">
        <v>90</v>
      </c>
      <c r="B117">
        <v>18697</v>
      </c>
      <c r="C117" t="s">
        <v>150</v>
      </c>
      <c r="D117" t="s">
        <v>21</v>
      </c>
      <c r="E117">
        <v>62601.59</v>
      </c>
      <c r="F117" s="1">
        <v>44658</v>
      </c>
      <c r="G117">
        <v>1</v>
      </c>
      <c r="H117" t="s">
        <v>12</v>
      </c>
      <c r="I117" t="s">
        <v>13</v>
      </c>
    </row>
    <row r="118" spans="1:9" x14ac:dyDescent="0.3">
      <c r="A118" t="s">
        <v>22</v>
      </c>
      <c r="B118">
        <v>21094</v>
      </c>
      <c r="C118" t="s">
        <v>151</v>
      </c>
      <c r="D118" t="s">
        <v>11</v>
      </c>
      <c r="E118">
        <v>72603.34</v>
      </c>
      <c r="F118" s="1">
        <v>45305</v>
      </c>
      <c r="G118">
        <v>0.5</v>
      </c>
      <c r="H118" t="s">
        <v>12</v>
      </c>
      <c r="I118" t="s">
        <v>13</v>
      </c>
    </row>
    <row r="119" spans="1:9" x14ac:dyDescent="0.3">
      <c r="A119" t="s">
        <v>9</v>
      </c>
      <c r="B119">
        <v>77702</v>
      </c>
      <c r="C119" t="s">
        <v>152</v>
      </c>
      <c r="D119" t="s">
        <v>16</v>
      </c>
      <c r="E119">
        <v>56336.88</v>
      </c>
      <c r="F119" s="1">
        <v>43160</v>
      </c>
      <c r="G119">
        <v>0.5</v>
      </c>
      <c r="H119" t="s">
        <v>17</v>
      </c>
      <c r="I119" t="s">
        <v>13</v>
      </c>
    </row>
    <row r="120" spans="1:9" x14ac:dyDescent="0.3">
      <c r="A120" t="s">
        <v>19</v>
      </c>
      <c r="B120">
        <v>15166</v>
      </c>
      <c r="C120" t="s">
        <v>153</v>
      </c>
      <c r="D120" t="s">
        <v>31</v>
      </c>
      <c r="E120">
        <v>114341.42</v>
      </c>
      <c r="F120" s="1">
        <v>44270</v>
      </c>
      <c r="G120">
        <v>1</v>
      </c>
      <c r="H120" t="s">
        <v>12</v>
      </c>
      <c r="I120" t="s">
        <v>13</v>
      </c>
    </row>
    <row r="121" spans="1:9" x14ac:dyDescent="0.3">
      <c r="A121" t="s">
        <v>33</v>
      </c>
      <c r="B121">
        <v>39503</v>
      </c>
      <c r="C121" t="s">
        <v>154</v>
      </c>
      <c r="D121" t="s">
        <v>37</v>
      </c>
      <c r="E121">
        <v>116233.31</v>
      </c>
      <c r="F121" s="1">
        <v>44909</v>
      </c>
      <c r="G121">
        <v>1</v>
      </c>
      <c r="H121" t="s">
        <v>12</v>
      </c>
      <c r="I121" t="s">
        <v>13</v>
      </c>
    </row>
    <row r="122" spans="1:9" x14ac:dyDescent="0.3">
      <c r="A122" t="s">
        <v>19</v>
      </c>
      <c r="B122">
        <v>27104</v>
      </c>
      <c r="C122" t="s">
        <v>155</v>
      </c>
      <c r="D122" t="s">
        <v>16</v>
      </c>
      <c r="E122">
        <v>87232.41</v>
      </c>
      <c r="F122" s="1">
        <v>43722</v>
      </c>
      <c r="G122">
        <v>0.5</v>
      </c>
      <c r="H122" t="s">
        <v>17</v>
      </c>
      <c r="I122" t="s">
        <v>13</v>
      </c>
    </row>
    <row r="123" spans="1:9" x14ac:dyDescent="0.3">
      <c r="A123" t="s">
        <v>47</v>
      </c>
      <c r="B123">
        <v>15325</v>
      </c>
      <c r="C123" t="s">
        <v>156</v>
      </c>
      <c r="D123" t="s">
        <v>24</v>
      </c>
      <c r="E123">
        <v>46564.1</v>
      </c>
      <c r="F123" s="1">
        <v>44813</v>
      </c>
      <c r="G123">
        <v>0.75</v>
      </c>
      <c r="H123" t="s">
        <v>12</v>
      </c>
      <c r="I123" t="s">
        <v>13</v>
      </c>
    </row>
    <row r="124" spans="1:9" x14ac:dyDescent="0.3">
      <c r="A124" t="s">
        <v>14</v>
      </c>
      <c r="B124">
        <v>49380</v>
      </c>
      <c r="C124" t="s">
        <v>157</v>
      </c>
      <c r="D124" t="s">
        <v>11</v>
      </c>
      <c r="E124">
        <v>119365.66</v>
      </c>
      <c r="F124" s="1">
        <v>43234</v>
      </c>
      <c r="G124">
        <v>1</v>
      </c>
      <c r="H124" t="s">
        <v>17</v>
      </c>
      <c r="I124" t="s">
        <v>13</v>
      </c>
    </row>
    <row r="125" spans="1:9" x14ac:dyDescent="0.3">
      <c r="A125" t="s">
        <v>22</v>
      </c>
      <c r="B125">
        <v>12003</v>
      </c>
      <c r="C125" t="s">
        <v>158</v>
      </c>
      <c r="D125" t="s">
        <v>31</v>
      </c>
      <c r="E125">
        <v>39232.239999999998</v>
      </c>
      <c r="F125" s="1">
        <v>43743</v>
      </c>
      <c r="G125">
        <v>0.75</v>
      </c>
      <c r="H125" t="s">
        <v>17</v>
      </c>
      <c r="I125" t="s">
        <v>13</v>
      </c>
    </row>
    <row r="126" spans="1:9" x14ac:dyDescent="0.3">
      <c r="A126" t="s">
        <v>47</v>
      </c>
      <c r="B126">
        <v>68797</v>
      </c>
      <c r="C126" t="s">
        <v>159</v>
      </c>
      <c r="D126" t="s">
        <v>37</v>
      </c>
      <c r="E126">
        <v>82276.44</v>
      </c>
      <c r="F126" s="1">
        <v>45007</v>
      </c>
      <c r="G126">
        <v>0.75</v>
      </c>
      <c r="H126" t="s">
        <v>12</v>
      </c>
      <c r="I126" t="s">
        <v>13</v>
      </c>
    </row>
    <row r="127" spans="1:9" x14ac:dyDescent="0.3">
      <c r="A127" t="s">
        <v>27</v>
      </c>
      <c r="B127">
        <v>53331</v>
      </c>
      <c r="C127" t="s">
        <v>160</v>
      </c>
      <c r="D127" t="s">
        <v>21</v>
      </c>
      <c r="E127">
        <v>44076.28</v>
      </c>
      <c r="F127" s="1">
        <v>41799</v>
      </c>
      <c r="G127">
        <v>1</v>
      </c>
      <c r="H127" t="s">
        <v>17</v>
      </c>
      <c r="I127" t="s">
        <v>144</v>
      </c>
    </row>
    <row r="128" spans="1:9" x14ac:dyDescent="0.3">
      <c r="A128" t="s">
        <v>9</v>
      </c>
      <c r="B128">
        <v>31061</v>
      </c>
      <c r="C128" t="s">
        <v>161</v>
      </c>
      <c r="D128" t="s">
        <v>37</v>
      </c>
      <c r="E128">
        <v>110790.78</v>
      </c>
      <c r="F128" s="1">
        <v>42360</v>
      </c>
      <c r="G128">
        <v>1</v>
      </c>
      <c r="H128" t="s">
        <v>17</v>
      </c>
      <c r="I128" t="s">
        <v>58</v>
      </c>
    </row>
    <row r="129" spans="1:9" x14ac:dyDescent="0.3">
      <c r="A129" t="s">
        <v>19</v>
      </c>
      <c r="B129">
        <v>29506</v>
      </c>
      <c r="C129" t="s">
        <v>162</v>
      </c>
      <c r="D129" t="s">
        <v>37</v>
      </c>
      <c r="E129">
        <v>115111.06</v>
      </c>
      <c r="F129" s="1">
        <v>44720</v>
      </c>
      <c r="G129">
        <v>1</v>
      </c>
      <c r="H129" t="s">
        <v>12</v>
      </c>
      <c r="I129" t="s">
        <v>13</v>
      </c>
    </row>
    <row r="130" spans="1:9" x14ac:dyDescent="0.3">
      <c r="A130" t="s">
        <v>38</v>
      </c>
      <c r="B130">
        <v>95994</v>
      </c>
      <c r="C130" t="s">
        <v>163</v>
      </c>
      <c r="D130" t="s">
        <v>21</v>
      </c>
      <c r="E130">
        <v>102395.13</v>
      </c>
      <c r="F130" s="1">
        <v>43759</v>
      </c>
      <c r="G130">
        <v>1</v>
      </c>
      <c r="H130" t="s">
        <v>17</v>
      </c>
      <c r="I130" t="s">
        <v>13</v>
      </c>
    </row>
    <row r="131" spans="1:9" x14ac:dyDescent="0.3">
      <c r="A131" t="s">
        <v>27</v>
      </c>
      <c r="B131">
        <v>70389</v>
      </c>
      <c r="C131" t="s">
        <v>80</v>
      </c>
      <c r="D131" t="s">
        <v>31</v>
      </c>
      <c r="E131">
        <v>58430.23</v>
      </c>
      <c r="F131" s="1">
        <v>44238</v>
      </c>
      <c r="G131">
        <v>0.5</v>
      </c>
      <c r="H131" t="s">
        <v>17</v>
      </c>
      <c r="I131" t="s">
        <v>13</v>
      </c>
    </row>
    <row r="132" spans="1:9" x14ac:dyDescent="0.3">
      <c r="A132" t="s">
        <v>9</v>
      </c>
      <c r="B132">
        <v>58669</v>
      </c>
      <c r="C132" t="s">
        <v>164</v>
      </c>
      <c r="D132" t="s">
        <v>31</v>
      </c>
      <c r="E132">
        <v>51855.48</v>
      </c>
      <c r="F132" s="1">
        <v>43201</v>
      </c>
      <c r="G132">
        <v>0.75</v>
      </c>
      <c r="H132" t="s">
        <v>17</v>
      </c>
      <c r="I132" t="s">
        <v>13</v>
      </c>
    </row>
    <row r="133" spans="1:9" x14ac:dyDescent="0.3">
      <c r="A133" t="s">
        <v>90</v>
      </c>
      <c r="B133">
        <v>76191</v>
      </c>
      <c r="C133" t="s">
        <v>165</v>
      </c>
      <c r="D133" t="s">
        <v>24</v>
      </c>
      <c r="E133">
        <v>97937.26</v>
      </c>
      <c r="F133" s="1">
        <v>44469</v>
      </c>
      <c r="G133">
        <v>0.75</v>
      </c>
      <c r="H133" t="s">
        <v>17</v>
      </c>
      <c r="I133" t="s">
        <v>13</v>
      </c>
    </row>
    <row r="134" spans="1:9" x14ac:dyDescent="0.3">
      <c r="A134" t="s">
        <v>22</v>
      </c>
      <c r="B134">
        <v>60099</v>
      </c>
      <c r="C134" t="s">
        <v>166</v>
      </c>
      <c r="D134" t="s">
        <v>21</v>
      </c>
      <c r="E134">
        <v>56195.360000000001</v>
      </c>
      <c r="F134" s="1">
        <v>42091</v>
      </c>
      <c r="G134">
        <v>1</v>
      </c>
      <c r="H134" t="s">
        <v>17</v>
      </c>
      <c r="I134" t="s">
        <v>13</v>
      </c>
    </row>
    <row r="135" spans="1:9" x14ac:dyDescent="0.3">
      <c r="A135" t="s">
        <v>38</v>
      </c>
      <c r="B135">
        <v>79442</v>
      </c>
      <c r="C135" t="s">
        <v>167</v>
      </c>
      <c r="D135" t="s">
        <v>21</v>
      </c>
      <c r="E135">
        <v>67780.679999999993</v>
      </c>
      <c r="F135" s="1">
        <v>45364</v>
      </c>
      <c r="G135">
        <v>0.5</v>
      </c>
      <c r="H135" t="s">
        <v>12</v>
      </c>
      <c r="I135" t="s">
        <v>13</v>
      </c>
    </row>
    <row r="136" spans="1:9" x14ac:dyDescent="0.3">
      <c r="A136" t="s">
        <v>38</v>
      </c>
      <c r="B136">
        <v>75854</v>
      </c>
      <c r="C136" t="s">
        <v>168</v>
      </c>
      <c r="D136" t="s">
        <v>37</v>
      </c>
      <c r="E136">
        <v>34163.01</v>
      </c>
      <c r="F136" s="1">
        <v>42040</v>
      </c>
      <c r="G136">
        <v>1</v>
      </c>
      <c r="H136" t="s">
        <v>17</v>
      </c>
      <c r="I136" t="s">
        <v>13</v>
      </c>
    </row>
    <row r="137" spans="1:9" x14ac:dyDescent="0.3">
      <c r="A137" t="s">
        <v>9</v>
      </c>
      <c r="B137">
        <v>14406</v>
      </c>
      <c r="C137" t="s">
        <v>169</v>
      </c>
      <c r="D137" t="s">
        <v>37</v>
      </c>
      <c r="E137">
        <v>41901.040000000001</v>
      </c>
      <c r="F137" s="1">
        <v>44314</v>
      </c>
      <c r="G137">
        <v>0.75</v>
      </c>
      <c r="H137" t="s">
        <v>17</v>
      </c>
      <c r="I137" t="s">
        <v>13</v>
      </c>
    </row>
    <row r="138" spans="1:9" x14ac:dyDescent="0.3">
      <c r="A138" t="s">
        <v>47</v>
      </c>
      <c r="B138">
        <v>85218</v>
      </c>
      <c r="C138" t="s">
        <v>170</v>
      </c>
      <c r="D138" t="s">
        <v>31</v>
      </c>
      <c r="E138">
        <v>31849.47</v>
      </c>
      <c r="F138" s="1">
        <v>42369</v>
      </c>
      <c r="G138">
        <v>1</v>
      </c>
      <c r="H138" t="s">
        <v>17</v>
      </c>
      <c r="I138" t="s">
        <v>13</v>
      </c>
    </row>
    <row r="139" spans="1:9" x14ac:dyDescent="0.3">
      <c r="A139" t="s">
        <v>90</v>
      </c>
      <c r="B139">
        <v>21881</v>
      </c>
      <c r="C139" t="s">
        <v>171</v>
      </c>
      <c r="D139" t="s">
        <v>21</v>
      </c>
      <c r="E139">
        <v>37012.9</v>
      </c>
      <c r="F139" s="1">
        <v>43426</v>
      </c>
      <c r="G139">
        <v>1</v>
      </c>
      <c r="H139" t="s">
        <v>17</v>
      </c>
      <c r="I139" t="s">
        <v>13</v>
      </c>
    </row>
    <row r="140" spans="1:9" x14ac:dyDescent="0.3">
      <c r="A140" t="s">
        <v>33</v>
      </c>
      <c r="B140">
        <v>98941</v>
      </c>
      <c r="C140" t="s">
        <v>172</v>
      </c>
      <c r="D140" t="s">
        <v>31</v>
      </c>
      <c r="E140">
        <v>36589</v>
      </c>
      <c r="F140" s="1">
        <v>43033</v>
      </c>
      <c r="G140">
        <v>0.75</v>
      </c>
      <c r="H140" t="s">
        <v>17</v>
      </c>
      <c r="I140" t="s">
        <v>13</v>
      </c>
    </row>
    <row r="141" spans="1:9" x14ac:dyDescent="0.3">
      <c r="A141" t="s">
        <v>19</v>
      </c>
      <c r="B141">
        <v>77895</v>
      </c>
      <c r="C141" t="s">
        <v>173</v>
      </c>
      <c r="D141" t="s">
        <v>11</v>
      </c>
      <c r="E141">
        <v>67820.850000000006</v>
      </c>
      <c r="F141" s="1">
        <v>43819</v>
      </c>
      <c r="G141">
        <v>0.5</v>
      </c>
      <c r="H141" t="s">
        <v>17</v>
      </c>
      <c r="I141" t="s">
        <v>13</v>
      </c>
    </row>
    <row r="142" spans="1:9" x14ac:dyDescent="0.3">
      <c r="A142" t="s">
        <v>90</v>
      </c>
      <c r="B142">
        <v>88661</v>
      </c>
      <c r="C142" t="s">
        <v>174</v>
      </c>
      <c r="D142" t="s">
        <v>21</v>
      </c>
      <c r="E142">
        <v>79569.95</v>
      </c>
      <c r="F142" s="1">
        <v>42898</v>
      </c>
      <c r="G142">
        <v>1</v>
      </c>
      <c r="H142" t="s">
        <v>17</v>
      </c>
      <c r="I142" t="s">
        <v>144</v>
      </c>
    </row>
    <row r="143" spans="1:9" x14ac:dyDescent="0.3">
      <c r="A143" t="s">
        <v>14</v>
      </c>
      <c r="B143">
        <v>20008</v>
      </c>
      <c r="C143" t="s">
        <v>175</v>
      </c>
      <c r="D143" t="s">
        <v>21</v>
      </c>
      <c r="E143">
        <v>96679.09</v>
      </c>
      <c r="F143" s="1">
        <v>42491</v>
      </c>
      <c r="G143">
        <v>0.75</v>
      </c>
      <c r="H143" t="s">
        <v>17</v>
      </c>
      <c r="I143" t="s">
        <v>13</v>
      </c>
    </row>
    <row r="144" spans="1:9" x14ac:dyDescent="0.3">
      <c r="A144" t="s">
        <v>90</v>
      </c>
      <c r="B144">
        <v>65884</v>
      </c>
      <c r="C144" t="s">
        <v>176</v>
      </c>
      <c r="D144" t="s">
        <v>31</v>
      </c>
      <c r="E144">
        <v>42805.51</v>
      </c>
      <c r="F144" s="1">
        <v>42912</v>
      </c>
      <c r="G144">
        <v>1</v>
      </c>
      <c r="H144" t="s">
        <v>17</v>
      </c>
      <c r="I144" t="s">
        <v>13</v>
      </c>
    </row>
    <row r="145" spans="1:9" x14ac:dyDescent="0.3">
      <c r="A145" t="s">
        <v>33</v>
      </c>
      <c r="B145">
        <v>37014</v>
      </c>
      <c r="C145" t="s">
        <v>177</v>
      </c>
      <c r="D145" t="s">
        <v>37</v>
      </c>
      <c r="E145">
        <v>67996.990000000005</v>
      </c>
      <c r="F145" s="1">
        <v>44051</v>
      </c>
      <c r="G145">
        <v>0.5</v>
      </c>
      <c r="H145" t="s">
        <v>17</v>
      </c>
      <c r="I145" t="s">
        <v>13</v>
      </c>
    </row>
    <row r="146" spans="1:9" x14ac:dyDescent="0.3">
      <c r="A146" t="s">
        <v>25</v>
      </c>
      <c r="B146">
        <v>47966</v>
      </c>
      <c r="C146" t="s">
        <v>178</v>
      </c>
      <c r="D146" t="s">
        <v>37</v>
      </c>
      <c r="E146">
        <v>87326.94</v>
      </c>
      <c r="F146" s="1">
        <v>41964</v>
      </c>
      <c r="G146">
        <v>1</v>
      </c>
      <c r="H146" t="s">
        <v>17</v>
      </c>
      <c r="I146" t="s">
        <v>13</v>
      </c>
    </row>
    <row r="147" spans="1:9" x14ac:dyDescent="0.3">
      <c r="A147" t="s">
        <v>27</v>
      </c>
      <c r="B147">
        <v>80178</v>
      </c>
      <c r="C147" t="s">
        <v>179</v>
      </c>
      <c r="D147" t="s">
        <v>11</v>
      </c>
      <c r="E147">
        <v>37610.01</v>
      </c>
      <c r="F147" s="1">
        <v>43241</v>
      </c>
      <c r="G147">
        <v>0.5</v>
      </c>
      <c r="H147" t="s">
        <v>17</v>
      </c>
      <c r="I147" t="s">
        <v>13</v>
      </c>
    </row>
    <row r="148" spans="1:9" x14ac:dyDescent="0.3">
      <c r="A148" t="s">
        <v>38</v>
      </c>
      <c r="B148">
        <v>88461</v>
      </c>
      <c r="C148" t="s">
        <v>180</v>
      </c>
      <c r="D148" t="s">
        <v>11</v>
      </c>
      <c r="E148">
        <v>70033</v>
      </c>
      <c r="F148" s="1">
        <v>42060</v>
      </c>
      <c r="G148">
        <v>0.5</v>
      </c>
      <c r="H148" t="s">
        <v>17</v>
      </c>
      <c r="I148" t="s">
        <v>13</v>
      </c>
    </row>
    <row r="149" spans="1:9" x14ac:dyDescent="0.3">
      <c r="A149" t="s">
        <v>90</v>
      </c>
      <c r="B149">
        <v>64767</v>
      </c>
      <c r="C149" t="s">
        <v>181</v>
      </c>
      <c r="D149" t="s">
        <v>16</v>
      </c>
      <c r="E149">
        <v>63233.04</v>
      </c>
      <c r="F149" s="1">
        <v>41839</v>
      </c>
      <c r="G149">
        <v>0.5</v>
      </c>
      <c r="H149" t="s">
        <v>17</v>
      </c>
      <c r="I149" t="s">
        <v>13</v>
      </c>
    </row>
    <row r="150" spans="1:9" x14ac:dyDescent="0.3">
      <c r="A150" t="s">
        <v>27</v>
      </c>
      <c r="B150">
        <v>73204</v>
      </c>
      <c r="C150" t="s">
        <v>182</v>
      </c>
      <c r="D150" t="s">
        <v>16</v>
      </c>
      <c r="E150">
        <v>115403.87</v>
      </c>
      <c r="F150" s="1">
        <v>44166</v>
      </c>
      <c r="G150">
        <v>1</v>
      </c>
      <c r="H150" t="s">
        <v>17</v>
      </c>
      <c r="I150" t="s">
        <v>13</v>
      </c>
    </row>
    <row r="151" spans="1:9" x14ac:dyDescent="0.3">
      <c r="A151" t="s">
        <v>9</v>
      </c>
      <c r="B151">
        <v>60930</v>
      </c>
      <c r="C151" t="s">
        <v>183</v>
      </c>
      <c r="D151" t="s">
        <v>11</v>
      </c>
      <c r="E151">
        <v>35207.14</v>
      </c>
      <c r="F151" s="1">
        <v>45110</v>
      </c>
      <c r="G151">
        <v>0.75</v>
      </c>
      <c r="H151" t="s">
        <v>12</v>
      </c>
      <c r="I151" t="s">
        <v>13</v>
      </c>
    </row>
    <row r="152" spans="1:9" x14ac:dyDescent="0.3">
      <c r="A152" t="s">
        <v>9</v>
      </c>
      <c r="B152">
        <v>89617</v>
      </c>
      <c r="C152" t="s">
        <v>184</v>
      </c>
      <c r="D152" t="s">
        <v>24</v>
      </c>
      <c r="E152">
        <v>66776.36</v>
      </c>
      <c r="F152" s="1">
        <v>41817</v>
      </c>
      <c r="G152">
        <v>0.5</v>
      </c>
      <c r="H152" t="s">
        <v>17</v>
      </c>
      <c r="I152" t="s">
        <v>13</v>
      </c>
    </row>
    <row r="153" spans="1:9" x14ac:dyDescent="0.3">
      <c r="A153" t="s">
        <v>90</v>
      </c>
      <c r="B153">
        <v>86859</v>
      </c>
      <c r="C153" t="s">
        <v>185</v>
      </c>
      <c r="D153" t="s">
        <v>21</v>
      </c>
      <c r="E153">
        <v>67550.289999999994</v>
      </c>
      <c r="F153" s="1">
        <v>42594</v>
      </c>
      <c r="G153">
        <v>1</v>
      </c>
      <c r="H153" t="s">
        <v>17</v>
      </c>
      <c r="I153" t="s">
        <v>13</v>
      </c>
    </row>
    <row r="154" spans="1:9" x14ac:dyDescent="0.3">
      <c r="A154" t="s">
        <v>47</v>
      </c>
      <c r="B154">
        <v>40614</v>
      </c>
      <c r="C154" t="s">
        <v>186</v>
      </c>
      <c r="D154" t="s">
        <v>11</v>
      </c>
      <c r="E154">
        <v>95536.25</v>
      </c>
      <c r="F154" s="1">
        <v>42512</v>
      </c>
      <c r="G154">
        <v>1</v>
      </c>
      <c r="H154" t="s">
        <v>17</v>
      </c>
      <c r="I154" t="s">
        <v>13</v>
      </c>
    </row>
    <row r="155" spans="1:9" x14ac:dyDescent="0.3">
      <c r="A155" t="s">
        <v>9</v>
      </c>
      <c r="B155">
        <v>12684</v>
      </c>
      <c r="C155" t="s">
        <v>187</v>
      </c>
      <c r="D155" t="s">
        <v>31</v>
      </c>
      <c r="E155">
        <v>58860.39</v>
      </c>
      <c r="F155" s="1">
        <v>43027</v>
      </c>
      <c r="G155">
        <v>0.5</v>
      </c>
      <c r="H155" t="s">
        <v>17</v>
      </c>
      <c r="I155" t="s">
        <v>13</v>
      </c>
    </row>
    <row r="156" spans="1:9" x14ac:dyDescent="0.3">
      <c r="A156" t="s">
        <v>25</v>
      </c>
      <c r="B156">
        <v>96112</v>
      </c>
      <c r="C156" t="s">
        <v>188</v>
      </c>
      <c r="D156" t="s">
        <v>31</v>
      </c>
      <c r="E156">
        <v>48359.12</v>
      </c>
      <c r="F156" s="1">
        <v>42295</v>
      </c>
      <c r="G156">
        <v>0.75</v>
      </c>
      <c r="H156" t="s">
        <v>17</v>
      </c>
      <c r="I156" t="s">
        <v>13</v>
      </c>
    </row>
    <row r="157" spans="1:9" x14ac:dyDescent="0.3">
      <c r="A157" t="s">
        <v>38</v>
      </c>
      <c r="B157">
        <v>10031</v>
      </c>
      <c r="C157" t="s">
        <v>189</v>
      </c>
      <c r="D157" t="s">
        <v>31</v>
      </c>
      <c r="E157">
        <v>56398.05</v>
      </c>
      <c r="F157" s="1">
        <v>44685</v>
      </c>
      <c r="G157">
        <v>0.75</v>
      </c>
      <c r="H157" t="s">
        <v>12</v>
      </c>
      <c r="I157" t="s">
        <v>18</v>
      </c>
    </row>
    <row r="158" spans="1:9" x14ac:dyDescent="0.3">
      <c r="A158" t="s">
        <v>47</v>
      </c>
      <c r="B158">
        <v>33851</v>
      </c>
      <c r="C158" t="s">
        <v>190</v>
      </c>
      <c r="D158" t="s">
        <v>16</v>
      </c>
      <c r="E158">
        <v>72379.88</v>
      </c>
      <c r="F158" s="1">
        <v>43017</v>
      </c>
      <c r="G158">
        <v>0.5</v>
      </c>
      <c r="H158" t="s">
        <v>17</v>
      </c>
      <c r="I158" t="s">
        <v>144</v>
      </c>
    </row>
    <row r="159" spans="1:9" x14ac:dyDescent="0.3">
      <c r="A159" t="s">
        <v>27</v>
      </c>
      <c r="B159">
        <v>49641</v>
      </c>
      <c r="C159" t="s">
        <v>191</v>
      </c>
      <c r="D159" t="s">
        <v>11</v>
      </c>
      <c r="E159">
        <v>115524.15</v>
      </c>
      <c r="F159" s="1">
        <v>41798</v>
      </c>
      <c r="G159">
        <v>1</v>
      </c>
      <c r="H159" t="s">
        <v>17</v>
      </c>
      <c r="I159" t="s">
        <v>13</v>
      </c>
    </row>
    <row r="160" spans="1:9" x14ac:dyDescent="0.3">
      <c r="A160" t="s">
        <v>19</v>
      </c>
      <c r="B160">
        <v>76434</v>
      </c>
      <c r="C160" t="s">
        <v>192</v>
      </c>
      <c r="D160" t="s">
        <v>16</v>
      </c>
      <c r="E160">
        <v>101686.53</v>
      </c>
      <c r="F160" s="1">
        <v>45021</v>
      </c>
      <c r="G160">
        <v>1</v>
      </c>
      <c r="H160" t="s">
        <v>12</v>
      </c>
      <c r="I160" t="s">
        <v>13</v>
      </c>
    </row>
    <row r="161" spans="1:9" x14ac:dyDescent="0.3">
      <c r="A161" t="s">
        <v>14</v>
      </c>
      <c r="B161">
        <v>84745</v>
      </c>
      <c r="C161" t="s">
        <v>193</v>
      </c>
      <c r="D161" t="s">
        <v>31</v>
      </c>
      <c r="E161">
        <v>54927.32</v>
      </c>
      <c r="F161" s="1">
        <v>44368</v>
      </c>
      <c r="G161">
        <v>0.75</v>
      </c>
      <c r="H161" t="s">
        <v>12</v>
      </c>
      <c r="I161" t="s">
        <v>13</v>
      </c>
    </row>
    <row r="162" spans="1:9" x14ac:dyDescent="0.3">
      <c r="A162" t="s">
        <v>38</v>
      </c>
      <c r="B162">
        <v>43352</v>
      </c>
      <c r="C162" t="s">
        <v>194</v>
      </c>
      <c r="D162" t="s">
        <v>21</v>
      </c>
      <c r="E162">
        <v>80236.34</v>
      </c>
      <c r="F162" s="1">
        <v>42203</v>
      </c>
      <c r="G162">
        <v>0.5</v>
      </c>
      <c r="H162" t="s">
        <v>17</v>
      </c>
      <c r="I162" t="s">
        <v>13</v>
      </c>
    </row>
    <row r="163" spans="1:9" x14ac:dyDescent="0.3">
      <c r="A163" t="s">
        <v>14</v>
      </c>
      <c r="B163">
        <v>53605</v>
      </c>
      <c r="C163" t="s">
        <v>195</v>
      </c>
      <c r="D163" t="s">
        <v>31</v>
      </c>
      <c r="E163">
        <v>91938.03</v>
      </c>
      <c r="F163" s="1">
        <v>45125</v>
      </c>
      <c r="G163">
        <v>1</v>
      </c>
      <c r="H163" t="s">
        <v>12</v>
      </c>
      <c r="I163" t="s">
        <v>13</v>
      </c>
    </row>
    <row r="164" spans="1:9" x14ac:dyDescent="0.3">
      <c r="A164" t="s">
        <v>19</v>
      </c>
      <c r="B164">
        <v>18601</v>
      </c>
      <c r="C164" t="s">
        <v>196</v>
      </c>
      <c r="D164" t="s">
        <v>31</v>
      </c>
      <c r="E164">
        <v>101609.14</v>
      </c>
      <c r="F164" s="1">
        <v>42889</v>
      </c>
      <c r="G164">
        <v>1</v>
      </c>
      <c r="H164" t="s">
        <v>17</v>
      </c>
      <c r="I164" t="s">
        <v>13</v>
      </c>
    </row>
    <row r="165" spans="1:9" x14ac:dyDescent="0.3">
      <c r="A165" t="s">
        <v>9</v>
      </c>
      <c r="B165">
        <v>74685</v>
      </c>
      <c r="C165" t="s">
        <v>197</v>
      </c>
      <c r="D165" t="s">
        <v>21</v>
      </c>
      <c r="E165">
        <v>70154.789999999994</v>
      </c>
      <c r="F165" s="1">
        <v>43244</v>
      </c>
      <c r="G165">
        <v>1</v>
      </c>
      <c r="H165" t="s">
        <v>17</v>
      </c>
      <c r="I165" t="s">
        <v>13</v>
      </c>
    </row>
    <row r="166" spans="1:9" x14ac:dyDescent="0.3">
      <c r="A166" t="s">
        <v>22</v>
      </c>
      <c r="B166">
        <v>44341</v>
      </c>
      <c r="C166" t="s">
        <v>198</v>
      </c>
      <c r="D166" t="s">
        <v>24</v>
      </c>
      <c r="E166">
        <v>65889.919999999998</v>
      </c>
      <c r="F166" s="1">
        <v>43199</v>
      </c>
      <c r="G166">
        <v>0.75</v>
      </c>
      <c r="H166" t="s">
        <v>17</v>
      </c>
      <c r="I166" t="s">
        <v>13</v>
      </c>
    </row>
    <row r="167" spans="1:9" x14ac:dyDescent="0.3">
      <c r="A167" t="s">
        <v>25</v>
      </c>
      <c r="B167">
        <v>49689</v>
      </c>
      <c r="C167" t="s">
        <v>199</v>
      </c>
      <c r="D167" t="s">
        <v>24</v>
      </c>
      <c r="E167">
        <v>99087.67</v>
      </c>
      <c r="F167" s="1">
        <v>44370</v>
      </c>
      <c r="G167">
        <v>0.75</v>
      </c>
      <c r="H167" t="s">
        <v>17</v>
      </c>
      <c r="I167" t="s">
        <v>13</v>
      </c>
    </row>
    <row r="168" spans="1:9" x14ac:dyDescent="0.3">
      <c r="A168" t="s">
        <v>25</v>
      </c>
      <c r="B168">
        <v>63486</v>
      </c>
      <c r="C168" t="s">
        <v>200</v>
      </c>
      <c r="D168" t="s">
        <v>37</v>
      </c>
      <c r="E168">
        <v>68854.48</v>
      </c>
      <c r="F168" s="1">
        <v>44162</v>
      </c>
      <c r="G168">
        <v>0.75</v>
      </c>
      <c r="H168" t="s">
        <v>17</v>
      </c>
      <c r="I168" t="s">
        <v>13</v>
      </c>
    </row>
    <row r="169" spans="1:9" x14ac:dyDescent="0.3">
      <c r="A169" t="s">
        <v>25</v>
      </c>
      <c r="B169">
        <v>60352</v>
      </c>
      <c r="C169" t="s">
        <v>201</v>
      </c>
      <c r="D169" t="s">
        <v>21</v>
      </c>
      <c r="E169">
        <v>52316.19</v>
      </c>
      <c r="F169" s="1">
        <v>44738</v>
      </c>
      <c r="G169">
        <v>0.75</v>
      </c>
      <c r="H169" t="s">
        <v>12</v>
      </c>
      <c r="I169" t="s">
        <v>13</v>
      </c>
    </row>
    <row r="170" spans="1:9" x14ac:dyDescent="0.3">
      <c r="A170" t="s">
        <v>22</v>
      </c>
      <c r="B170">
        <v>60289</v>
      </c>
      <c r="C170" t="s">
        <v>202</v>
      </c>
      <c r="D170" t="s">
        <v>21</v>
      </c>
      <c r="E170">
        <v>70810.23</v>
      </c>
      <c r="F170" s="1">
        <v>41791</v>
      </c>
      <c r="G170">
        <v>1</v>
      </c>
      <c r="H170" t="s">
        <v>17</v>
      </c>
      <c r="I170" t="s">
        <v>13</v>
      </c>
    </row>
    <row r="171" spans="1:9" x14ac:dyDescent="0.3">
      <c r="A171" t="s">
        <v>38</v>
      </c>
      <c r="B171">
        <v>18160</v>
      </c>
      <c r="C171" t="s">
        <v>203</v>
      </c>
      <c r="D171" t="s">
        <v>24</v>
      </c>
      <c r="E171">
        <v>114339.42</v>
      </c>
      <c r="F171" s="1">
        <v>44497</v>
      </c>
      <c r="G171">
        <v>1</v>
      </c>
      <c r="H171" t="s">
        <v>17</v>
      </c>
      <c r="I171" t="s">
        <v>13</v>
      </c>
    </row>
    <row r="172" spans="1:9" x14ac:dyDescent="0.3">
      <c r="A172" t="s">
        <v>9</v>
      </c>
      <c r="B172">
        <v>31468</v>
      </c>
      <c r="C172" t="s">
        <v>204</v>
      </c>
      <c r="D172" t="s">
        <v>11</v>
      </c>
      <c r="E172">
        <v>42831.07</v>
      </c>
      <c r="F172" s="1">
        <v>43094</v>
      </c>
      <c r="G172">
        <v>0.75</v>
      </c>
      <c r="H172" t="s">
        <v>17</v>
      </c>
      <c r="I172" t="s">
        <v>13</v>
      </c>
    </row>
    <row r="173" spans="1:9" x14ac:dyDescent="0.3">
      <c r="A173" t="s">
        <v>19</v>
      </c>
      <c r="B173">
        <v>94015</v>
      </c>
      <c r="C173" t="s">
        <v>205</v>
      </c>
      <c r="D173" t="s">
        <v>11</v>
      </c>
      <c r="E173">
        <v>71619.179999999993</v>
      </c>
      <c r="F173" s="1">
        <v>44157</v>
      </c>
      <c r="G173">
        <v>0.75</v>
      </c>
      <c r="H173" t="s">
        <v>17</v>
      </c>
      <c r="I173" t="s">
        <v>206</v>
      </c>
    </row>
    <row r="174" spans="1:9" x14ac:dyDescent="0.3">
      <c r="A174" t="s">
        <v>47</v>
      </c>
      <c r="B174">
        <v>26688</v>
      </c>
      <c r="C174" t="s">
        <v>207</v>
      </c>
      <c r="D174" t="s">
        <v>16</v>
      </c>
      <c r="E174">
        <v>87357.32</v>
      </c>
      <c r="F174" s="1">
        <v>42044</v>
      </c>
      <c r="G174">
        <v>0.75</v>
      </c>
      <c r="H174" t="s">
        <v>17</v>
      </c>
      <c r="I174" t="s">
        <v>206</v>
      </c>
    </row>
    <row r="175" spans="1:9" x14ac:dyDescent="0.3">
      <c r="A175" t="s">
        <v>22</v>
      </c>
      <c r="B175">
        <v>41319</v>
      </c>
      <c r="C175" t="s">
        <v>208</v>
      </c>
      <c r="D175" t="s">
        <v>21</v>
      </c>
      <c r="E175">
        <v>73495.92</v>
      </c>
      <c r="F175" s="1">
        <v>43462</v>
      </c>
      <c r="G175">
        <v>0.5</v>
      </c>
      <c r="H175" t="s">
        <v>17</v>
      </c>
      <c r="I175" t="s">
        <v>144</v>
      </c>
    </row>
    <row r="176" spans="1:9" x14ac:dyDescent="0.3">
      <c r="A176" t="s">
        <v>14</v>
      </c>
      <c r="B176">
        <v>47629</v>
      </c>
      <c r="C176" t="s">
        <v>209</v>
      </c>
      <c r="D176" t="s">
        <v>31</v>
      </c>
      <c r="E176">
        <v>48327.59</v>
      </c>
      <c r="F176" s="1">
        <v>41966</v>
      </c>
      <c r="G176">
        <v>0.75</v>
      </c>
      <c r="H176" t="s">
        <v>17</v>
      </c>
      <c r="I176" t="s">
        <v>13</v>
      </c>
    </row>
    <row r="177" spans="1:9" x14ac:dyDescent="0.3">
      <c r="A177" t="s">
        <v>25</v>
      </c>
      <c r="B177">
        <v>53781</v>
      </c>
      <c r="C177" t="s">
        <v>210</v>
      </c>
      <c r="D177" t="s">
        <v>37</v>
      </c>
      <c r="E177">
        <v>30165.88</v>
      </c>
      <c r="F177" s="1">
        <v>45410</v>
      </c>
      <c r="G177">
        <v>0.75</v>
      </c>
      <c r="H177" t="s">
        <v>35</v>
      </c>
      <c r="I177" t="s">
        <v>13</v>
      </c>
    </row>
    <row r="178" spans="1:9" x14ac:dyDescent="0.3">
      <c r="A178" t="s">
        <v>27</v>
      </c>
      <c r="B178">
        <v>17278</v>
      </c>
      <c r="C178" t="s">
        <v>211</v>
      </c>
      <c r="D178" t="s">
        <v>16</v>
      </c>
      <c r="E178">
        <v>92909.25</v>
      </c>
      <c r="F178" s="1">
        <v>43945</v>
      </c>
      <c r="G178">
        <v>0.75</v>
      </c>
      <c r="H178" t="s">
        <v>17</v>
      </c>
      <c r="I178" t="s">
        <v>13</v>
      </c>
    </row>
    <row r="179" spans="1:9" x14ac:dyDescent="0.3">
      <c r="A179" t="s">
        <v>9</v>
      </c>
      <c r="B179">
        <v>14709</v>
      </c>
      <c r="C179" t="s">
        <v>212</v>
      </c>
      <c r="D179" t="s">
        <v>37</v>
      </c>
      <c r="E179">
        <v>85686.2</v>
      </c>
      <c r="F179" s="1">
        <v>44072</v>
      </c>
      <c r="G179">
        <v>0.5</v>
      </c>
      <c r="H179" t="s">
        <v>17</v>
      </c>
      <c r="I179" t="s">
        <v>13</v>
      </c>
    </row>
    <row r="180" spans="1:9" x14ac:dyDescent="0.3">
      <c r="A180" t="s">
        <v>47</v>
      </c>
      <c r="B180">
        <v>73088</v>
      </c>
      <c r="C180" t="s">
        <v>213</v>
      </c>
      <c r="D180" t="s">
        <v>24</v>
      </c>
      <c r="E180">
        <v>30699.9</v>
      </c>
      <c r="F180" s="1">
        <v>43885</v>
      </c>
      <c r="G180">
        <v>0.5</v>
      </c>
      <c r="H180" t="s">
        <v>17</v>
      </c>
      <c r="I180" t="s">
        <v>13</v>
      </c>
    </row>
    <row r="181" spans="1:9" x14ac:dyDescent="0.3">
      <c r="A181" t="s">
        <v>19</v>
      </c>
      <c r="B181">
        <v>64770</v>
      </c>
      <c r="C181" t="s">
        <v>214</v>
      </c>
      <c r="D181" t="s">
        <v>16</v>
      </c>
      <c r="E181">
        <v>56870.41</v>
      </c>
      <c r="F181" s="1">
        <v>44609</v>
      </c>
      <c r="G181">
        <v>0.5</v>
      </c>
      <c r="H181" t="s">
        <v>17</v>
      </c>
      <c r="I181" t="s">
        <v>13</v>
      </c>
    </row>
    <row r="182" spans="1:9" x14ac:dyDescent="0.3">
      <c r="A182" t="s">
        <v>38</v>
      </c>
      <c r="B182">
        <v>28468</v>
      </c>
      <c r="C182" t="s">
        <v>215</v>
      </c>
      <c r="D182" t="s">
        <v>21</v>
      </c>
      <c r="E182">
        <v>99177.08</v>
      </c>
      <c r="F182" s="1">
        <v>42623</v>
      </c>
      <c r="G182">
        <v>1</v>
      </c>
      <c r="H182" t="s">
        <v>17</v>
      </c>
      <c r="I182" t="s">
        <v>13</v>
      </c>
    </row>
    <row r="183" spans="1:9" x14ac:dyDescent="0.3">
      <c r="A183" t="s">
        <v>9</v>
      </c>
      <c r="B183">
        <v>74465</v>
      </c>
      <c r="C183" t="s">
        <v>216</v>
      </c>
      <c r="D183" t="s">
        <v>16</v>
      </c>
      <c r="E183">
        <v>86602.83</v>
      </c>
      <c r="F183" s="1">
        <v>45001</v>
      </c>
      <c r="G183">
        <v>0.5</v>
      </c>
      <c r="H183" t="s">
        <v>12</v>
      </c>
      <c r="I183" t="s">
        <v>13</v>
      </c>
    </row>
    <row r="184" spans="1:9" x14ac:dyDescent="0.3">
      <c r="A184" t="s">
        <v>47</v>
      </c>
      <c r="B184">
        <v>88900</v>
      </c>
      <c r="C184" t="s">
        <v>217</v>
      </c>
      <c r="D184" t="s">
        <v>37</v>
      </c>
      <c r="E184">
        <v>79068.73</v>
      </c>
      <c r="F184" s="1">
        <v>42360</v>
      </c>
      <c r="G184">
        <v>1</v>
      </c>
      <c r="H184" t="s">
        <v>17</v>
      </c>
      <c r="I184" t="s">
        <v>13</v>
      </c>
    </row>
    <row r="185" spans="1:9" x14ac:dyDescent="0.3">
      <c r="A185" t="s">
        <v>47</v>
      </c>
      <c r="B185">
        <v>20698</v>
      </c>
      <c r="C185" t="s">
        <v>218</v>
      </c>
      <c r="D185" t="s">
        <v>31</v>
      </c>
      <c r="E185">
        <v>44059.9</v>
      </c>
      <c r="F185" s="1">
        <v>43353</v>
      </c>
      <c r="G185">
        <v>0.5</v>
      </c>
      <c r="H185" t="s">
        <v>17</v>
      </c>
      <c r="I185" t="s">
        <v>13</v>
      </c>
    </row>
    <row r="186" spans="1:9" x14ac:dyDescent="0.3">
      <c r="A186" t="s">
        <v>90</v>
      </c>
      <c r="B186">
        <v>98282</v>
      </c>
      <c r="C186" t="s">
        <v>219</v>
      </c>
      <c r="D186" t="s">
        <v>31</v>
      </c>
      <c r="E186">
        <v>93566.46</v>
      </c>
      <c r="F186" s="1">
        <v>42430</v>
      </c>
      <c r="G186">
        <v>1</v>
      </c>
      <c r="H186" t="s">
        <v>17</v>
      </c>
      <c r="I186" t="s">
        <v>13</v>
      </c>
    </row>
    <row r="187" spans="1:9" x14ac:dyDescent="0.3">
      <c r="A187" t="s">
        <v>38</v>
      </c>
      <c r="B187">
        <v>29840</v>
      </c>
      <c r="C187" t="s">
        <v>220</v>
      </c>
      <c r="D187" t="s">
        <v>11</v>
      </c>
      <c r="E187">
        <v>72429.14</v>
      </c>
      <c r="F187" s="1">
        <v>42432</v>
      </c>
      <c r="G187">
        <v>0.5</v>
      </c>
      <c r="H187" t="s">
        <v>17</v>
      </c>
      <c r="I187" t="s">
        <v>13</v>
      </c>
    </row>
    <row r="188" spans="1:9" x14ac:dyDescent="0.3">
      <c r="A188" t="s">
        <v>38</v>
      </c>
      <c r="B188">
        <v>56238</v>
      </c>
      <c r="C188" t="s">
        <v>221</v>
      </c>
      <c r="D188" t="s">
        <v>31</v>
      </c>
      <c r="E188">
        <v>91036.09</v>
      </c>
      <c r="F188" s="1">
        <v>43484</v>
      </c>
      <c r="G188">
        <v>0.5</v>
      </c>
      <c r="H188" t="s">
        <v>17</v>
      </c>
      <c r="I188" t="s">
        <v>13</v>
      </c>
    </row>
    <row r="189" spans="1:9" x14ac:dyDescent="0.3">
      <c r="A189" t="s">
        <v>33</v>
      </c>
      <c r="B189">
        <v>63888</v>
      </c>
      <c r="C189" t="s">
        <v>222</v>
      </c>
      <c r="D189" t="s">
        <v>24</v>
      </c>
      <c r="E189">
        <v>98408.09</v>
      </c>
      <c r="F189" s="1">
        <v>41938</v>
      </c>
      <c r="G189">
        <v>0.5</v>
      </c>
      <c r="H189" t="s">
        <v>17</v>
      </c>
      <c r="I189" t="s">
        <v>13</v>
      </c>
    </row>
    <row r="190" spans="1:9" x14ac:dyDescent="0.3">
      <c r="A190" t="s">
        <v>47</v>
      </c>
      <c r="B190">
        <v>14611</v>
      </c>
      <c r="C190" t="s">
        <v>223</v>
      </c>
      <c r="D190" t="s">
        <v>21</v>
      </c>
      <c r="E190">
        <v>50912.639999999999</v>
      </c>
      <c r="F190" s="1">
        <v>42670</v>
      </c>
      <c r="G190">
        <v>0.75</v>
      </c>
      <c r="H190" t="s">
        <v>17</v>
      </c>
      <c r="I190" t="s">
        <v>13</v>
      </c>
    </row>
    <row r="191" spans="1:9" x14ac:dyDescent="0.3">
      <c r="A191" t="s">
        <v>14</v>
      </c>
      <c r="B191">
        <v>90186</v>
      </c>
      <c r="C191" t="s">
        <v>224</v>
      </c>
      <c r="D191" t="s">
        <v>11</v>
      </c>
      <c r="E191">
        <v>98579.55</v>
      </c>
      <c r="F191" s="1">
        <v>42633</v>
      </c>
      <c r="G191">
        <v>0.75</v>
      </c>
      <c r="H191" t="s">
        <v>17</v>
      </c>
      <c r="I191" t="s">
        <v>13</v>
      </c>
    </row>
    <row r="192" spans="1:9" x14ac:dyDescent="0.3">
      <c r="A192" t="s">
        <v>22</v>
      </c>
      <c r="B192">
        <v>71116</v>
      </c>
      <c r="C192" t="s">
        <v>225</v>
      </c>
      <c r="D192" t="s">
        <v>16</v>
      </c>
      <c r="E192">
        <v>55207.95</v>
      </c>
      <c r="F192" s="1">
        <v>44143</v>
      </c>
      <c r="G192">
        <v>1</v>
      </c>
      <c r="H192" t="s">
        <v>17</v>
      </c>
      <c r="I192" t="s">
        <v>13</v>
      </c>
    </row>
    <row r="193" spans="1:9" x14ac:dyDescent="0.3">
      <c r="A193" t="s">
        <v>33</v>
      </c>
      <c r="B193">
        <v>60683</v>
      </c>
      <c r="C193" t="s">
        <v>226</v>
      </c>
      <c r="D193" t="s">
        <v>31</v>
      </c>
      <c r="E193">
        <v>118561.36</v>
      </c>
      <c r="F193" s="1">
        <v>43075</v>
      </c>
      <c r="G193">
        <v>1</v>
      </c>
      <c r="H193" t="s">
        <v>17</v>
      </c>
      <c r="I193" t="s">
        <v>13</v>
      </c>
    </row>
    <row r="194" spans="1:9" x14ac:dyDescent="0.3">
      <c r="A194" t="s">
        <v>47</v>
      </c>
      <c r="B194">
        <v>70146</v>
      </c>
      <c r="C194" t="s">
        <v>227</v>
      </c>
      <c r="D194" t="s">
        <v>21</v>
      </c>
      <c r="E194">
        <v>40874.839999999997</v>
      </c>
      <c r="F194" s="1">
        <v>45350</v>
      </c>
      <c r="G194">
        <v>0.75</v>
      </c>
      <c r="H194" t="s">
        <v>12</v>
      </c>
      <c r="I194" t="s">
        <v>13</v>
      </c>
    </row>
    <row r="195" spans="1:9" x14ac:dyDescent="0.3">
      <c r="A195" t="s">
        <v>25</v>
      </c>
      <c r="B195">
        <v>16164</v>
      </c>
      <c r="C195" t="s">
        <v>228</v>
      </c>
      <c r="D195" t="s">
        <v>21</v>
      </c>
      <c r="E195">
        <v>109534.62</v>
      </c>
      <c r="F195" s="1">
        <v>43774</v>
      </c>
      <c r="G195">
        <v>1</v>
      </c>
      <c r="H195" t="s">
        <v>17</v>
      </c>
      <c r="I195" t="s">
        <v>206</v>
      </c>
    </row>
    <row r="196" spans="1:9" x14ac:dyDescent="0.3">
      <c r="A196" t="s">
        <v>25</v>
      </c>
      <c r="B196">
        <v>23301</v>
      </c>
      <c r="C196" t="s">
        <v>229</v>
      </c>
      <c r="D196" t="s">
        <v>37</v>
      </c>
      <c r="E196">
        <v>33649.24</v>
      </c>
      <c r="F196" s="1">
        <v>43042</v>
      </c>
      <c r="G196">
        <v>0.75</v>
      </c>
      <c r="H196" t="s">
        <v>17</v>
      </c>
      <c r="I196" t="s">
        <v>206</v>
      </c>
    </row>
    <row r="197" spans="1:9" x14ac:dyDescent="0.3">
      <c r="A197" t="s">
        <v>25</v>
      </c>
      <c r="B197">
        <v>71720</v>
      </c>
      <c r="C197" t="s">
        <v>230</v>
      </c>
      <c r="D197" t="s">
        <v>16</v>
      </c>
      <c r="E197">
        <v>53091.82</v>
      </c>
      <c r="F197" s="1">
        <v>44406</v>
      </c>
      <c r="G197">
        <v>0.75</v>
      </c>
      <c r="H197" t="s">
        <v>17</v>
      </c>
      <c r="I197" t="s">
        <v>13</v>
      </c>
    </row>
    <row r="198" spans="1:9" x14ac:dyDescent="0.3">
      <c r="A198" t="s">
        <v>33</v>
      </c>
      <c r="B198">
        <v>12651</v>
      </c>
      <c r="C198" t="s">
        <v>231</v>
      </c>
      <c r="D198" t="s">
        <v>11</v>
      </c>
      <c r="E198">
        <v>77349.17</v>
      </c>
      <c r="F198" s="1">
        <v>44945</v>
      </c>
      <c r="G198">
        <v>0.75</v>
      </c>
      <c r="H198" t="s">
        <v>35</v>
      </c>
      <c r="I198" t="s">
        <v>13</v>
      </c>
    </row>
    <row r="199" spans="1:9" x14ac:dyDescent="0.3">
      <c r="A199" t="s">
        <v>90</v>
      </c>
      <c r="B199">
        <v>14255</v>
      </c>
      <c r="C199" t="s">
        <v>232</v>
      </c>
      <c r="D199" t="s">
        <v>31</v>
      </c>
      <c r="E199">
        <v>82345.460000000006</v>
      </c>
      <c r="F199" s="1">
        <v>44898</v>
      </c>
      <c r="G199">
        <v>1</v>
      </c>
      <c r="H199" t="s">
        <v>12</v>
      </c>
      <c r="I199" t="s">
        <v>13</v>
      </c>
    </row>
    <row r="200" spans="1:9" x14ac:dyDescent="0.3">
      <c r="A200" t="s">
        <v>38</v>
      </c>
      <c r="B200">
        <v>88420</v>
      </c>
      <c r="C200" t="s">
        <v>233</v>
      </c>
      <c r="D200" t="s">
        <v>16</v>
      </c>
      <c r="E200">
        <v>65661.149999999994</v>
      </c>
      <c r="F200" s="1">
        <v>42536</v>
      </c>
      <c r="G200">
        <v>1</v>
      </c>
      <c r="H200" t="s">
        <v>17</v>
      </c>
      <c r="I200" t="s">
        <v>13</v>
      </c>
    </row>
    <row r="201" spans="1:9" x14ac:dyDescent="0.3">
      <c r="A201" t="s">
        <v>25</v>
      </c>
      <c r="B201">
        <v>90923</v>
      </c>
      <c r="C201" t="s">
        <v>234</v>
      </c>
      <c r="D201" t="s">
        <v>24</v>
      </c>
      <c r="E201">
        <v>39182.86</v>
      </c>
      <c r="F201" s="1">
        <v>45266</v>
      </c>
      <c r="G201">
        <v>0.5</v>
      </c>
      <c r="H201" t="s">
        <v>35</v>
      </c>
      <c r="I201" t="s">
        <v>13</v>
      </c>
    </row>
    <row r="202" spans="1:9" x14ac:dyDescent="0.3">
      <c r="A202" t="s">
        <v>47</v>
      </c>
      <c r="B202">
        <v>27393</v>
      </c>
      <c r="C202" t="s">
        <v>235</v>
      </c>
      <c r="D202" t="s">
        <v>16</v>
      </c>
      <c r="E202">
        <v>52734.73</v>
      </c>
      <c r="F202" s="1">
        <v>42444</v>
      </c>
      <c r="G202">
        <v>1</v>
      </c>
      <c r="H202" t="s">
        <v>17</v>
      </c>
      <c r="I202" t="s">
        <v>13</v>
      </c>
    </row>
    <row r="203" spans="1:9" x14ac:dyDescent="0.3">
      <c r="A203" t="s">
        <v>38</v>
      </c>
      <c r="B203">
        <v>92570</v>
      </c>
      <c r="C203" t="s">
        <v>236</v>
      </c>
      <c r="D203" t="s">
        <v>31</v>
      </c>
      <c r="E203">
        <v>55505.69</v>
      </c>
      <c r="F203" s="1">
        <v>44738</v>
      </c>
      <c r="G203">
        <v>0.75</v>
      </c>
      <c r="H203" t="s">
        <v>12</v>
      </c>
      <c r="I203" t="s">
        <v>13</v>
      </c>
    </row>
    <row r="204" spans="1:9" x14ac:dyDescent="0.3">
      <c r="A204" t="s">
        <v>14</v>
      </c>
      <c r="B204">
        <v>52455</v>
      </c>
      <c r="C204" t="s">
        <v>237</v>
      </c>
      <c r="D204" t="s">
        <v>16</v>
      </c>
      <c r="E204">
        <v>97970.06</v>
      </c>
      <c r="F204" s="1">
        <v>42562</v>
      </c>
      <c r="G204">
        <v>0.75</v>
      </c>
      <c r="H204" t="s">
        <v>17</v>
      </c>
      <c r="I204" t="s">
        <v>13</v>
      </c>
    </row>
    <row r="205" spans="1:9" x14ac:dyDescent="0.3">
      <c r="A205" t="s">
        <v>25</v>
      </c>
      <c r="B205">
        <v>23800</v>
      </c>
      <c r="C205" t="s">
        <v>238</v>
      </c>
      <c r="D205" t="s">
        <v>21</v>
      </c>
      <c r="E205">
        <v>111789.69</v>
      </c>
      <c r="F205" s="1">
        <v>44951</v>
      </c>
      <c r="G205">
        <v>1</v>
      </c>
      <c r="H205" t="s">
        <v>12</v>
      </c>
      <c r="I205" t="s">
        <v>13</v>
      </c>
    </row>
    <row r="206" spans="1:9" x14ac:dyDescent="0.3">
      <c r="A206" t="s">
        <v>9</v>
      </c>
      <c r="B206">
        <v>81977</v>
      </c>
      <c r="C206" t="s">
        <v>239</v>
      </c>
      <c r="D206" t="s">
        <v>21</v>
      </c>
      <c r="E206">
        <v>83586.89</v>
      </c>
      <c r="F206" s="1">
        <v>44570</v>
      </c>
      <c r="G206">
        <v>0.5</v>
      </c>
      <c r="H206" t="s">
        <v>12</v>
      </c>
      <c r="I206" t="s">
        <v>13</v>
      </c>
    </row>
    <row r="207" spans="1:9" x14ac:dyDescent="0.3">
      <c r="A207" t="s">
        <v>27</v>
      </c>
      <c r="B207">
        <v>95064</v>
      </c>
      <c r="C207" t="s">
        <v>240</v>
      </c>
      <c r="D207" t="s">
        <v>37</v>
      </c>
      <c r="E207">
        <v>33190.589999999997</v>
      </c>
      <c r="F207" s="1">
        <v>44708</v>
      </c>
      <c r="G207">
        <v>1</v>
      </c>
      <c r="H207" t="s">
        <v>12</v>
      </c>
      <c r="I207" t="s">
        <v>13</v>
      </c>
    </row>
    <row r="208" spans="1:9" x14ac:dyDescent="0.3">
      <c r="A208" t="s">
        <v>9</v>
      </c>
      <c r="B208">
        <v>55438</v>
      </c>
      <c r="C208" t="s">
        <v>241</v>
      </c>
      <c r="D208" t="s">
        <v>24</v>
      </c>
      <c r="E208">
        <v>101301.28</v>
      </c>
      <c r="F208" s="1">
        <v>42899</v>
      </c>
      <c r="G208">
        <v>1</v>
      </c>
      <c r="H208" t="s">
        <v>17</v>
      </c>
      <c r="I208" t="s">
        <v>13</v>
      </c>
    </row>
    <row r="209" spans="1:9" x14ac:dyDescent="0.3">
      <c r="A209" t="s">
        <v>27</v>
      </c>
      <c r="B209">
        <v>35555</v>
      </c>
      <c r="C209" t="s">
        <v>242</v>
      </c>
      <c r="D209" t="s">
        <v>16</v>
      </c>
      <c r="E209">
        <v>57504.35</v>
      </c>
      <c r="F209" s="1">
        <v>44615</v>
      </c>
      <c r="G209">
        <v>1</v>
      </c>
      <c r="H209" t="s">
        <v>17</v>
      </c>
      <c r="I209" t="s">
        <v>13</v>
      </c>
    </row>
    <row r="210" spans="1:9" x14ac:dyDescent="0.3">
      <c r="A210" t="s">
        <v>22</v>
      </c>
      <c r="B210">
        <v>60254</v>
      </c>
      <c r="C210" t="s">
        <v>243</v>
      </c>
      <c r="D210" t="s">
        <v>31</v>
      </c>
      <c r="E210">
        <v>60590.14</v>
      </c>
      <c r="F210" s="1">
        <v>45192</v>
      </c>
      <c r="G210">
        <v>1</v>
      </c>
      <c r="H210" t="s">
        <v>12</v>
      </c>
      <c r="I210" t="s">
        <v>13</v>
      </c>
    </row>
    <row r="211" spans="1:9" x14ac:dyDescent="0.3">
      <c r="A211" t="s">
        <v>22</v>
      </c>
      <c r="B211">
        <v>74267</v>
      </c>
      <c r="C211" t="s">
        <v>244</v>
      </c>
      <c r="D211" t="s">
        <v>24</v>
      </c>
      <c r="E211">
        <v>77716.69</v>
      </c>
      <c r="F211" s="1">
        <v>43900</v>
      </c>
      <c r="G211">
        <v>0.75</v>
      </c>
      <c r="H211" t="s">
        <v>17</v>
      </c>
      <c r="I211" t="s">
        <v>13</v>
      </c>
    </row>
    <row r="212" spans="1:9" x14ac:dyDescent="0.3">
      <c r="A212" t="s">
        <v>9</v>
      </c>
      <c r="B212">
        <v>24548</v>
      </c>
      <c r="C212" t="s">
        <v>245</v>
      </c>
      <c r="D212" t="s">
        <v>21</v>
      </c>
      <c r="E212">
        <v>52414.23</v>
      </c>
      <c r="F212" s="1">
        <v>42589</v>
      </c>
      <c r="G212">
        <v>1</v>
      </c>
      <c r="H212" t="s">
        <v>17</v>
      </c>
      <c r="I212" t="s">
        <v>13</v>
      </c>
    </row>
    <row r="213" spans="1:9" x14ac:dyDescent="0.3">
      <c r="A213" t="s">
        <v>19</v>
      </c>
      <c r="B213">
        <v>17885</v>
      </c>
      <c r="C213" t="s">
        <v>246</v>
      </c>
      <c r="D213" t="s">
        <v>16</v>
      </c>
      <c r="E213">
        <v>112798.03</v>
      </c>
      <c r="F213" s="1">
        <v>44375</v>
      </c>
      <c r="G213">
        <v>1</v>
      </c>
      <c r="H213" t="s">
        <v>12</v>
      </c>
      <c r="I213" t="s">
        <v>13</v>
      </c>
    </row>
    <row r="214" spans="1:9" x14ac:dyDescent="0.3">
      <c r="A214" t="s">
        <v>19</v>
      </c>
      <c r="B214">
        <v>89969</v>
      </c>
      <c r="C214" t="s">
        <v>247</v>
      </c>
      <c r="D214" t="s">
        <v>24</v>
      </c>
      <c r="E214">
        <v>44719.93</v>
      </c>
      <c r="F214" s="1">
        <v>43370</v>
      </c>
      <c r="G214">
        <v>1</v>
      </c>
      <c r="H214" t="s">
        <v>17</v>
      </c>
      <c r="I214" t="s">
        <v>13</v>
      </c>
    </row>
    <row r="215" spans="1:9" x14ac:dyDescent="0.3">
      <c r="A215" t="s">
        <v>27</v>
      </c>
      <c r="B215">
        <v>71235</v>
      </c>
      <c r="C215" t="s">
        <v>248</v>
      </c>
      <c r="D215" t="s">
        <v>21</v>
      </c>
      <c r="E215">
        <v>67334.740000000005</v>
      </c>
      <c r="F215" s="1">
        <v>44133</v>
      </c>
      <c r="G215">
        <v>0.5</v>
      </c>
      <c r="H215" t="s">
        <v>17</v>
      </c>
      <c r="I215" t="s">
        <v>13</v>
      </c>
    </row>
    <row r="216" spans="1:9" x14ac:dyDescent="0.3">
      <c r="A216" t="s">
        <v>90</v>
      </c>
      <c r="B216">
        <v>90521</v>
      </c>
      <c r="C216" t="s">
        <v>249</v>
      </c>
      <c r="D216" t="s">
        <v>11</v>
      </c>
      <c r="E216">
        <v>56072.28</v>
      </c>
      <c r="F216" s="1">
        <v>42277</v>
      </c>
      <c r="G216">
        <v>0.5</v>
      </c>
      <c r="H216" t="s">
        <v>17</v>
      </c>
      <c r="I216" t="s">
        <v>13</v>
      </c>
    </row>
    <row r="217" spans="1:9" x14ac:dyDescent="0.3">
      <c r="A217" t="s">
        <v>22</v>
      </c>
      <c r="B217">
        <v>92878</v>
      </c>
      <c r="C217" t="s">
        <v>250</v>
      </c>
      <c r="D217" t="s">
        <v>11</v>
      </c>
      <c r="E217">
        <v>76785.070000000007</v>
      </c>
      <c r="F217" s="1">
        <v>45299</v>
      </c>
      <c r="G217">
        <v>1</v>
      </c>
      <c r="H217" t="s">
        <v>35</v>
      </c>
      <c r="I217" t="s">
        <v>13</v>
      </c>
    </row>
    <row r="218" spans="1:9" x14ac:dyDescent="0.3">
      <c r="A218" t="s">
        <v>38</v>
      </c>
      <c r="B218">
        <v>54284</v>
      </c>
      <c r="C218" t="s">
        <v>251</v>
      </c>
      <c r="D218" t="s">
        <v>21</v>
      </c>
      <c r="E218">
        <v>81658.36</v>
      </c>
      <c r="F218" s="1">
        <v>44929</v>
      </c>
      <c r="G218">
        <v>0.5</v>
      </c>
      <c r="H218" t="s">
        <v>12</v>
      </c>
      <c r="I218" t="s">
        <v>13</v>
      </c>
    </row>
    <row r="219" spans="1:9" x14ac:dyDescent="0.3">
      <c r="A219" t="s">
        <v>27</v>
      </c>
      <c r="B219">
        <v>95258</v>
      </c>
      <c r="C219" t="s">
        <v>252</v>
      </c>
      <c r="D219" t="s">
        <v>24</v>
      </c>
      <c r="E219">
        <v>86442.57</v>
      </c>
      <c r="F219" s="1">
        <v>43874</v>
      </c>
      <c r="G219">
        <v>0.75</v>
      </c>
      <c r="H219" t="s">
        <v>17</v>
      </c>
      <c r="I219" t="s">
        <v>13</v>
      </c>
    </row>
    <row r="220" spans="1:9" x14ac:dyDescent="0.3">
      <c r="A220" t="s">
        <v>19</v>
      </c>
      <c r="B220">
        <v>99460</v>
      </c>
      <c r="C220" t="s">
        <v>253</v>
      </c>
      <c r="D220" t="s">
        <v>21</v>
      </c>
      <c r="E220">
        <v>77823.820000000007</v>
      </c>
      <c r="F220" s="1">
        <v>43240</v>
      </c>
      <c r="G220">
        <v>1</v>
      </c>
      <c r="H220" t="s">
        <v>17</v>
      </c>
      <c r="I220" t="s">
        <v>13</v>
      </c>
    </row>
    <row r="221" spans="1:9" x14ac:dyDescent="0.3">
      <c r="A221" t="s">
        <v>25</v>
      </c>
      <c r="B221">
        <v>91531</v>
      </c>
      <c r="C221" t="s">
        <v>254</v>
      </c>
      <c r="D221" t="s">
        <v>11</v>
      </c>
      <c r="E221">
        <v>66972.41</v>
      </c>
      <c r="F221" s="1">
        <v>44608</v>
      </c>
      <c r="G221">
        <v>1</v>
      </c>
      <c r="H221" t="s">
        <v>12</v>
      </c>
      <c r="I221" t="s">
        <v>76</v>
      </c>
    </row>
    <row r="222" spans="1:9" x14ac:dyDescent="0.3">
      <c r="A222" t="s">
        <v>27</v>
      </c>
      <c r="B222">
        <v>48847</v>
      </c>
      <c r="C222" t="s">
        <v>255</v>
      </c>
      <c r="D222" t="s">
        <v>37</v>
      </c>
      <c r="E222">
        <v>87113.46</v>
      </c>
      <c r="F222" s="1">
        <v>43332</v>
      </c>
      <c r="G222">
        <v>0.5</v>
      </c>
      <c r="H222" t="s">
        <v>17</v>
      </c>
      <c r="I222" t="s">
        <v>13</v>
      </c>
    </row>
    <row r="223" spans="1:9" x14ac:dyDescent="0.3">
      <c r="A223" t="s">
        <v>47</v>
      </c>
      <c r="B223">
        <v>26660</v>
      </c>
      <c r="C223" t="s">
        <v>256</v>
      </c>
      <c r="D223" t="s">
        <v>21</v>
      </c>
      <c r="E223">
        <v>66307.16</v>
      </c>
      <c r="F223" s="1">
        <v>43970</v>
      </c>
      <c r="G223">
        <v>0.75</v>
      </c>
      <c r="H223" t="s">
        <v>17</v>
      </c>
      <c r="I223" t="s">
        <v>13</v>
      </c>
    </row>
    <row r="224" spans="1:9" x14ac:dyDescent="0.3">
      <c r="A224" t="s">
        <v>27</v>
      </c>
      <c r="B224">
        <v>60809</v>
      </c>
      <c r="C224" t="s">
        <v>257</v>
      </c>
      <c r="D224" t="s">
        <v>21</v>
      </c>
      <c r="E224">
        <v>100069.52</v>
      </c>
      <c r="F224" s="1">
        <v>44775</v>
      </c>
      <c r="G224">
        <v>1</v>
      </c>
      <c r="H224" t="s">
        <v>12</v>
      </c>
      <c r="I224" t="s">
        <v>13</v>
      </c>
    </row>
    <row r="225" spans="1:9" x14ac:dyDescent="0.3">
      <c r="A225" t="s">
        <v>25</v>
      </c>
      <c r="B225">
        <v>48509</v>
      </c>
      <c r="C225" t="s">
        <v>258</v>
      </c>
      <c r="D225" t="s">
        <v>11</v>
      </c>
      <c r="E225">
        <v>100935.97</v>
      </c>
      <c r="F225" s="1">
        <v>44338</v>
      </c>
      <c r="G225">
        <v>1</v>
      </c>
      <c r="H225" t="s">
        <v>12</v>
      </c>
      <c r="I225" t="s">
        <v>13</v>
      </c>
    </row>
    <row r="226" spans="1:9" x14ac:dyDescent="0.3">
      <c r="A226" t="s">
        <v>27</v>
      </c>
      <c r="B226">
        <v>99260</v>
      </c>
      <c r="C226" t="s">
        <v>259</v>
      </c>
      <c r="D226" t="s">
        <v>11</v>
      </c>
      <c r="E226">
        <v>56302.879999999997</v>
      </c>
      <c r="F226" s="1">
        <v>41937</v>
      </c>
      <c r="G226">
        <v>0.75</v>
      </c>
      <c r="H226" t="s">
        <v>17</v>
      </c>
      <c r="I226" t="s">
        <v>13</v>
      </c>
    </row>
    <row r="227" spans="1:9" x14ac:dyDescent="0.3">
      <c r="A227" t="s">
        <v>90</v>
      </c>
      <c r="B227">
        <v>25932</v>
      </c>
      <c r="C227" t="s">
        <v>260</v>
      </c>
      <c r="D227" t="s">
        <v>16</v>
      </c>
      <c r="E227">
        <v>63462.39</v>
      </c>
      <c r="F227" s="1">
        <v>44566</v>
      </c>
      <c r="G227">
        <v>0.5</v>
      </c>
      <c r="H227" t="s">
        <v>12</v>
      </c>
      <c r="I227" t="s">
        <v>13</v>
      </c>
    </row>
    <row r="228" spans="1:9" x14ac:dyDescent="0.3">
      <c r="A228" t="s">
        <v>27</v>
      </c>
      <c r="B228">
        <v>78027</v>
      </c>
      <c r="C228" t="s">
        <v>261</v>
      </c>
      <c r="D228" t="s">
        <v>24</v>
      </c>
      <c r="E228">
        <v>86592.98</v>
      </c>
      <c r="F228" s="1">
        <v>41826</v>
      </c>
      <c r="G228">
        <v>1</v>
      </c>
      <c r="H228" t="s">
        <v>17</v>
      </c>
      <c r="I228" t="s">
        <v>13</v>
      </c>
    </row>
    <row r="229" spans="1:9" x14ac:dyDescent="0.3">
      <c r="A229" t="s">
        <v>33</v>
      </c>
      <c r="B229">
        <v>34789</v>
      </c>
      <c r="C229" t="s">
        <v>262</v>
      </c>
      <c r="D229" t="s">
        <v>24</v>
      </c>
      <c r="E229">
        <v>44136.3</v>
      </c>
      <c r="F229" s="1">
        <v>45221</v>
      </c>
      <c r="G229">
        <v>0.75</v>
      </c>
      <c r="H229" t="s">
        <v>35</v>
      </c>
      <c r="I229" t="s">
        <v>13</v>
      </c>
    </row>
    <row r="230" spans="1:9" x14ac:dyDescent="0.3">
      <c r="A230" t="s">
        <v>9</v>
      </c>
      <c r="B230">
        <v>15004</v>
      </c>
      <c r="C230" t="s">
        <v>263</v>
      </c>
      <c r="D230" t="s">
        <v>16</v>
      </c>
      <c r="E230">
        <v>92732.87</v>
      </c>
      <c r="F230" s="1">
        <v>44304</v>
      </c>
      <c r="G230">
        <v>0.75</v>
      </c>
      <c r="H230" t="s">
        <v>17</v>
      </c>
      <c r="I230" t="s">
        <v>13</v>
      </c>
    </row>
    <row r="231" spans="1:9" x14ac:dyDescent="0.3">
      <c r="A231" t="s">
        <v>19</v>
      </c>
      <c r="B231">
        <v>61383</v>
      </c>
      <c r="C231" t="s">
        <v>264</v>
      </c>
      <c r="D231" t="s">
        <v>31</v>
      </c>
      <c r="E231">
        <v>64328.5</v>
      </c>
      <c r="F231" s="1">
        <v>44560</v>
      </c>
      <c r="G231">
        <v>1</v>
      </c>
      <c r="H231" t="s">
        <v>17</v>
      </c>
      <c r="I231" t="s">
        <v>13</v>
      </c>
    </row>
    <row r="232" spans="1:9" x14ac:dyDescent="0.3">
      <c r="A232" t="s">
        <v>9</v>
      </c>
      <c r="B232">
        <v>68271</v>
      </c>
      <c r="C232" t="s">
        <v>265</v>
      </c>
      <c r="D232" t="s">
        <v>37</v>
      </c>
      <c r="E232">
        <v>83195.62</v>
      </c>
      <c r="F232" s="1">
        <v>43180</v>
      </c>
      <c r="G232">
        <v>0.5</v>
      </c>
      <c r="H232" t="s">
        <v>17</v>
      </c>
      <c r="I232" t="s">
        <v>13</v>
      </c>
    </row>
    <row r="233" spans="1:9" x14ac:dyDescent="0.3">
      <c r="A233" t="s">
        <v>25</v>
      </c>
      <c r="B233">
        <v>58703</v>
      </c>
      <c r="C233" t="s">
        <v>266</v>
      </c>
      <c r="D233" t="s">
        <v>11</v>
      </c>
      <c r="E233">
        <v>42557.98</v>
      </c>
      <c r="F233" s="1">
        <v>44457</v>
      </c>
      <c r="G233">
        <v>1</v>
      </c>
      <c r="H233" t="s">
        <v>12</v>
      </c>
      <c r="I233" t="s">
        <v>13</v>
      </c>
    </row>
    <row r="234" spans="1:9" x14ac:dyDescent="0.3">
      <c r="A234" t="s">
        <v>22</v>
      </c>
      <c r="B234">
        <v>34966</v>
      </c>
      <c r="C234" t="s">
        <v>267</v>
      </c>
      <c r="D234" t="s">
        <v>11</v>
      </c>
      <c r="E234">
        <v>90143.25</v>
      </c>
      <c r="F234" s="1">
        <v>43286</v>
      </c>
      <c r="G234">
        <v>1</v>
      </c>
      <c r="H234" t="s">
        <v>17</v>
      </c>
      <c r="I234" t="s">
        <v>13</v>
      </c>
    </row>
    <row r="235" spans="1:9" x14ac:dyDescent="0.3">
      <c r="A235" t="s">
        <v>38</v>
      </c>
      <c r="B235">
        <v>69699</v>
      </c>
      <c r="C235" t="s">
        <v>268</v>
      </c>
      <c r="D235" t="s">
        <v>37</v>
      </c>
      <c r="E235">
        <v>61865.21</v>
      </c>
      <c r="F235" s="1">
        <v>43362</v>
      </c>
      <c r="G235">
        <v>0.5</v>
      </c>
      <c r="H235" t="s">
        <v>17</v>
      </c>
      <c r="I235" t="s">
        <v>13</v>
      </c>
    </row>
    <row r="236" spans="1:9" x14ac:dyDescent="0.3">
      <c r="A236" t="s">
        <v>22</v>
      </c>
      <c r="B236">
        <v>56734</v>
      </c>
      <c r="C236" t="s">
        <v>269</v>
      </c>
      <c r="D236" t="s">
        <v>37</v>
      </c>
      <c r="E236">
        <v>72539.899999999994</v>
      </c>
      <c r="F236" s="1">
        <v>44754</v>
      </c>
      <c r="G236">
        <v>0.5</v>
      </c>
      <c r="H236" t="s">
        <v>17</v>
      </c>
      <c r="I236" t="s">
        <v>13</v>
      </c>
    </row>
    <row r="237" spans="1:9" x14ac:dyDescent="0.3">
      <c r="A237" t="s">
        <v>19</v>
      </c>
      <c r="B237">
        <v>92839</v>
      </c>
      <c r="C237" t="s">
        <v>270</v>
      </c>
      <c r="D237" t="s">
        <v>31</v>
      </c>
      <c r="E237">
        <v>67359.67</v>
      </c>
      <c r="F237" s="1">
        <v>44741</v>
      </c>
      <c r="G237">
        <v>1</v>
      </c>
      <c r="H237" t="s">
        <v>12</v>
      </c>
      <c r="I237" t="s">
        <v>13</v>
      </c>
    </row>
    <row r="238" spans="1:9" x14ac:dyDescent="0.3">
      <c r="A238" t="s">
        <v>27</v>
      </c>
      <c r="B238">
        <v>19874</v>
      </c>
      <c r="C238" t="s">
        <v>271</v>
      </c>
      <c r="D238" t="s">
        <v>24</v>
      </c>
      <c r="E238">
        <v>72904.37</v>
      </c>
      <c r="F238" s="1">
        <v>42665</v>
      </c>
      <c r="G238">
        <v>1</v>
      </c>
      <c r="H238" t="s">
        <v>17</v>
      </c>
      <c r="I238" t="s">
        <v>13</v>
      </c>
    </row>
    <row r="239" spans="1:9" x14ac:dyDescent="0.3">
      <c r="A239" t="s">
        <v>19</v>
      </c>
      <c r="B239">
        <v>15851</v>
      </c>
      <c r="C239" t="s">
        <v>272</v>
      </c>
      <c r="D239" t="s">
        <v>16</v>
      </c>
      <c r="E239">
        <v>92522.61</v>
      </c>
      <c r="F239" s="1">
        <v>43207</v>
      </c>
      <c r="G239">
        <v>1</v>
      </c>
      <c r="H239" t="s">
        <v>17</v>
      </c>
      <c r="I239" t="s">
        <v>13</v>
      </c>
    </row>
    <row r="240" spans="1:9" x14ac:dyDescent="0.3">
      <c r="A240" t="s">
        <v>25</v>
      </c>
      <c r="B240">
        <v>15240</v>
      </c>
      <c r="C240" t="s">
        <v>273</v>
      </c>
      <c r="D240" t="s">
        <v>37</v>
      </c>
      <c r="E240">
        <v>58641.62</v>
      </c>
      <c r="F240" s="1">
        <v>44528</v>
      </c>
      <c r="G240">
        <v>1</v>
      </c>
      <c r="H240" t="s">
        <v>17</v>
      </c>
      <c r="I240" t="s">
        <v>13</v>
      </c>
    </row>
    <row r="241" spans="1:9" x14ac:dyDescent="0.3">
      <c r="A241" t="s">
        <v>25</v>
      </c>
      <c r="B241">
        <v>73722</v>
      </c>
      <c r="C241" t="s">
        <v>274</v>
      </c>
      <c r="D241" t="s">
        <v>24</v>
      </c>
      <c r="E241">
        <v>88684.9</v>
      </c>
      <c r="F241" s="1">
        <v>43550</v>
      </c>
      <c r="G241">
        <v>0.75</v>
      </c>
      <c r="H241" t="s">
        <v>17</v>
      </c>
      <c r="I241" t="s">
        <v>13</v>
      </c>
    </row>
    <row r="242" spans="1:9" x14ac:dyDescent="0.3">
      <c r="A242" t="s">
        <v>47</v>
      </c>
      <c r="B242">
        <v>43473</v>
      </c>
      <c r="C242" t="s">
        <v>275</v>
      </c>
      <c r="D242" t="s">
        <v>16</v>
      </c>
      <c r="E242">
        <v>35419.99</v>
      </c>
      <c r="F242" s="1">
        <v>44025</v>
      </c>
      <c r="G242">
        <v>0.75</v>
      </c>
      <c r="H242" t="s">
        <v>17</v>
      </c>
      <c r="I242" t="s">
        <v>13</v>
      </c>
    </row>
    <row r="243" spans="1:9" x14ac:dyDescent="0.3">
      <c r="A243" t="s">
        <v>90</v>
      </c>
      <c r="B243">
        <v>13493</v>
      </c>
      <c r="C243" t="s">
        <v>276</v>
      </c>
      <c r="D243" t="s">
        <v>21</v>
      </c>
      <c r="E243">
        <v>57016.66</v>
      </c>
      <c r="F243" s="1">
        <v>44810</v>
      </c>
      <c r="G243">
        <v>0.75</v>
      </c>
      <c r="H243" t="s">
        <v>17</v>
      </c>
      <c r="I243" t="s">
        <v>13</v>
      </c>
    </row>
    <row r="244" spans="1:9" x14ac:dyDescent="0.3">
      <c r="A244" t="s">
        <v>90</v>
      </c>
      <c r="B244">
        <v>78165</v>
      </c>
      <c r="C244" t="s">
        <v>277</v>
      </c>
      <c r="D244" t="s">
        <v>24</v>
      </c>
      <c r="E244">
        <v>97068.87</v>
      </c>
      <c r="F244" s="1">
        <v>42713</v>
      </c>
      <c r="G244">
        <v>0.75</v>
      </c>
      <c r="H244" t="s">
        <v>17</v>
      </c>
      <c r="I244" t="s">
        <v>13</v>
      </c>
    </row>
    <row r="245" spans="1:9" x14ac:dyDescent="0.3">
      <c r="A245" t="s">
        <v>22</v>
      </c>
      <c r="B245">
        <v>97360</v>
      </c>
      <c r="C245" t="s">
        <v>278</v>
      </c>
      <c r="D245" t="s">
        <v>37</v>
      </c>
      <c r="E245">
        <v>34716.53</v>
      </c>
      <c r="F245" s="1">
        <v>45034</v>
      </c>
      <c r="G245">
        <v>0.5</v>
      </c>
      <c r="H245" t="s">
        <v>12</v>
      </c>
      <c r="I245" t="s">
        <v>13</v>
      </c>
    </row>
    <row r="246" spans="1:9" x14ac:dyDescent="0.3">
      <c r="A246" t="s">
        <v>90</v>
      </c>
      <c r="B246">
        <v>84613</v>
      </c>
      <c r="C246" t="s">
        <v>279</v>
      </c>
      <c r="D246" t="s">
        <v>11</v>
      </c>
      <c r="E246">
        <v>85902.8</v>
      </c>
      <c r="F246" s="1">
        <v>42333</v>
      </c>
      <c r="G246">
        <v>0.75</v>
      </c>
      <c r="H246" t="s">
        <v>17</v>
      </c>
      <c r="I246" t="s">
        <v>13</v>
      </c>
    </row>
    <row r="247" spans="1:9" x14ac:dyDescent="0.3">
      <c r="A247" t="s">
        <v>9</v>
      </c>
      <c r="B247">
        <v>84946</v>
      </c>
      <c r="C247" t="s">
        <v>280</v>
      </c>
      <c r="D247" t="s">
        <v>11</v>
      </c>
      <c r="E247">
        <v>32299.21</v>
      </c>
      <c r="F247" s="1">
        <v>42954</v>
      </c>
      <c r="G247">
        <v>0.75</v>
      </c>
      <c r="H247" t="s">
        <v>17</v>
      </c>
      <c r="I247" t="s">
        <v>13</v>
      </c>
    </row>
    <row r="248" spans="1:9" x14ac:dyDescent="0.3">
      <c r="A248" t="s">
        <v>22</v>
      </c>
      <c r="B248">
        <v>38308</v>
      </c>
      <c r="C248" t="s">
        <v>281</v>
      </c>
      <c r="D248" t="s">
        <v>21</v>
      </c>
      <c r="E248">
        <v>72437.600000000006</v>
      </c>
      <c r="F248" s="1">
        <v>43652</v>
      </c>
      <c r="G248">
        <v>1</v>
      </c>
      <c r="H248" t="s">
        <v>17</v>
      </c>
      <c r="I248" t="s">
        <v>13</v>
      </c>
    </row>
    <row r="249" spans="1:9" x14ac:dyDescent="0.3">
      <c r="A249" t="s">
        <v>47</v>
      </c>
      <c r="B249">
        <v>40101</v>
      </c>
      <c r="C249" t="s">
        <v>282</v>
      </c>
      <c r="D249" t="s">
        <v>31</v>
      </c>
      <c r="E249">
        <v>109969.05</v>
      </c>
      <c r="F249" s="1">
        <v>45006</v>
      </c>
      <c r="G249">
        <v>1</v>
      </c>
      <c r="H249" t="s">
        <v>12</v>
      </c>
      <c r="I249" t="s">
        <v>144</v>
      </c>
    </row>
    <row r="250" spans="1:9" x14ac:dyDescent="0.3">
      <c r="A250" t="s">
        <v>22</v>
      </c>
      <c r="B250">
        <v>22252</v>
      </c>
      <c r="C250" t="s">
        <v>283</v>
      </c>
      <c r="D250" t="s">
        <v>31</v>
      </c>
      <c r="E250">
        <v>30909.91</v>
      </c>
      <c r="F250" s="1">
        <v>42551</v>
      </c>
      <c r="G250">
        <v>1</v>
      </c>
      <c r="H250" t="s">
        <v>17</v>
      </c>
      <c r="I250" t="s">
        <v>18</v>
      </c>
    </row>
    <row r="251" spans="1:9" x14ac:dyDescent="0.3">
      <c r="A251" t="s">
        <v>25</v>
      </c>
      <c r="B251">
        <v>92238</v>
      </c>
      <c r="C251" t="s">
        <v>284</v>
      </c>
      <c r="D251" t="s">
        <v>24</v>
      </c>
      <c r="E251">
        <v>77414.52</v>
      </c>
      <c r="F251" s="1">
        <v>42155</v>
      </c>
      <c r="G251">
        <v>1</v>
      </c>
      <c r="H251" t="s">
        <v>17</v>
      </c>
      <c r="I251" t="s">
        <v>13</v>
      </c>
    </row>
    <row r="252" spans="1:9" x14ac:dyDescent="0.3">
      <c r="A252" t="s">
        <v>14</v>
      </c>
      <c r="B252">
        <v>75852</v>
      </c>
      <c r="C252" t="s">
        <v>285</v>
      </c>
      <c r="D252" t="s">
        <v>31</v>
      </c>
      <c r="E252">
        <v>35981.11</v>
      </c>
      <c r="F252" s="1">
        <v>42752</v>
      </c>
      <c r="G252">
        <v>0.5</v>
      </c>
      <c r="H252" t="s">
        <v>17</v>
      </c>
      <c r="I252" t="s">
        <v>13</v>
      </c>
    </row>
    <row r="253" spans="1:9" x14ac:dyDescent="0.3">
      <c r="A253" t="s">
        <v>38</v>
      </c>
      <c r="B253">
        <v>78643</v>
      </c>
      <c r="C253" t="s">
        <v>286</v>
      </c>
      <c r="D253" t="s">
        <v>31</v>
      </c>
      <c r="E253">
        <v>108039.88</v>
      </c>
      <c r="F253" s="1">
        <v>43919</v>
      </c>
      <c r="G253">
        <v>1</v>
      </c>
      <c r="H253" t="s">
        <v>17</v>
      </c>
      <c r="I253" t="s">
        <v>13</v>
      </c>
    </row>
    <row r="254" spans="1:9" x14ac:dyDescent="0.3">
      <c r="A254" t="s">
        <v>33</v>
      </c>
      <c r="B254">
        <v>65064</v>
      </c>
      <c r="C254" t="s">
        <v>287</v>
      </c>
      <c r="D254" t="s">
        <v>16</v>
      </c>
      <c r="E254">
        <v>91766.69</v>
      </c>
      <c r="F254" s="1">
        <v>42016</v>
      </c>
      <c r="G254">
        <v>0.75</v>
      </c>
      <c r="H254" t="s">
        <v>17</v>
      </c>
      <c r="I254" t="s">
        <v>13</v>
      </c>
    </row>
    <row r="255" spans="1:9" x14ac:dyDescent="0.3">
      <c r="A255" t="s">
        <v>22</v>
      </c>
      <c r="B255">
        <v>76467</v>
      </c>
      <c r="C255" t="s">
        <v>288</v>
      </c>
      <c r="D255" t="s">
        <v>16</v>
      </c>
      <c r="E255">
        <v>96775.85</v>
      </c>
      <c r="F255" s="1">
        <v>43867</v>
      </c>
      <c r="G255">
        <v>1</v>
      </c>
      <c r="H255" t="s">
        <v>17</v>
      </c>
      <c r="I255" t="s">
        <v>13</v>
      </c>
    </row>
    <row r="256" spans="1:9" x14ac:dyDescent="0.3">
      <c r="A256" t="s">
        <v>25</v>
      </c>
      <c r="B256">
        <v>50017</v>
      </c>
      <c r="C256" t="s">
        <v>289</v>
      </c>
      <c r="D256" t="s">
        <v>31</v>
      </c>
      <c r="E256">
        <v>90210.68</v>
      </c>
      <c r="F256" s="1">
        <v>42785</v>
      </c>
      <c r="G256">
        <v>1</v>
      </c>
      <c r="H256" t="s">
        <v>17</v>
      </c>
      <c r="I256" t="s">
        <v>13</v>
      </c>
    </row>
    <row r="257" spans="1:9" x14ac:dyDescent="0.3">
      <c r="A257" t="s">
        <v>38</v>
      </c>
      <c r="B257">
        <v>24869</v>
      </c>
      <c r="C257" t="s">
        <v>290</v>
      </c>
      <c r="D257" t="s">
        <v>37</v>
      </c>
      <c r="E257">
        <v>30578.11</v>
      </c>
      <c r="F257" s="1">
        <v>44700</v>
      </c>
      <c r="G257">
        <v>0.75</v>
      </c>
      <c r="H257" t="s">
        <v>17</v>
      </c>
      <c r="I257" t="s">
        <v>291</v>
      </c>
    </row>
    <row r="258" spans="1:9" x14ac:dyDescent="0.3">
      <c r="A258" t="s">
        <v>47</v>
      </c>
      <c r="B258">
        <v>29095</v>
      </c>
      <c r="C258" t="s">
        <v>292</v>
      </c>
      <c r="D258" t="s">
        <v>31</v>
      </c>
      <c r="E258">
        <v>33706.01</v>
      </c>
      <c r="F258" s="1">
        <v>44214</v>
      </c>
      <c r="G258">
        <v>1</v>
      </c>
      <c r="H258" t="s">
        <v>17</v>
      </c>
      <c r="I258" t="s">
        <v>13</v>
      </c>
    </row>
    <row r="259" spans="1:9" x14ac:dyDescent="0.3">
      <c r="A259" t="s">
        <v>14</v>
      </c>
      <c r="B259">
        <v>65832</v>
      </c>
      <c r="C259" t="s">
        <v>293</v>
      </c>
      <c r="D259" t="s">
        <v>21</v>
      </c>
      <c r="E259">
        <v>85878.91</v>
      </c>
      <c r="F259" s="1">
        <v>42954</v>
      </c>
      <c r="G259">
        <v>0.5</v>
      </c>
      <c r="H259" t="s">
        <v>17</v>
      </c>
      <c r="I259" t="s">
        <v>60</v>
      </c>
    </row>
    <row r="260" spans="1:9" x14ac:dyDescent="0.3">
      <c r="A260" t="s">
        <v>33</v>
      </c>
      <c r="B260">
        <v>84188</v>
      </c>
      <c r="C260" t="s">
        <v>294</v>
      </c>
      <c r="D260" t="s">
        <v>37</v>
      </c>
      <c r="E260">
        <v>119971.66</v>
      </c>
      <c r="F260" s="1">
        <v>44345</v>
      </c>
      <c r="G260">
        <v>1</v>
      </c>
      <c r="H260" t="s">
        <v>17</v>
      </c>
      <c r="I260" t="s">
        <v>13</v>
      </c>
    </row>
    <row r="261" spans="1:9" x14ac:dyDescent="0.3">
      <c r="A261" t="s">
        <v>14</v>
      </c>
      <c r="B261">
        <v>65319</v>
      </c>
      <c r="C261" t="s">
        <v>295</v>
      </c>
      <c r="D261" t="s">
        <v>16</v>
      </c>
      <c r="E261">
        <v>108583.25</v>
      </c>
      <c r="F261" s="1">
        <v>44871</v>
      </c>
      <c r="G261">
        <v>1</v>
      </c>
      <c r="H261" t="s">
        <v>12</v>
      </c>
      <c r="I261" t="s">
        <v>76</v>
      </c>
    </row>
    <row r="262" spans="1:9" x14ac:dyDescent="0.3">
      <c r="A262" t="s">
        <v>19</v>
      </c>
      <c r="B262">
        <v>21014</v>
      </c>
      <c r="C262" t="s">
        <v>296</v>
      </c>
      <c r="D262" t="s">
        <v>16</v>
      </c>
      <c r="E262">
        <v>92971.72</v>
      </c>
      <c r="F262" s="1">
        <v>42982</v>
      </c>
      <c r="G262">
        <v>0.75</v>
      </c>
      <c r="H262" t="s">
        <v>17</v>
      </c>
      <c r="I262" t="s">
        <v>297</v>
      </c>
    </row>
    <row r="263" spans="1:9" x14ac:dyDescent="0.3">
      <c r="A263" t="s">
        <v>38</v>
      </c>
      <c r="B263">
        <v>23731</v>
      </c>
      <c r="C263" t="s">
        <v>298</v>
      </c>
      <c r="D263" t="s">
        <v>11</v>
      </c>
      <c r="E263">
        <v>95439</v>
      </c>
      <c r="F263" s="1">
        <v>42829</v>
      </c>
      <c r="G263">
        <v>1</v>
      </c>
      <c r="H263" t="s">
        <v>17</v>
      </c>
      <c r="I263" t="s">
        <v>13</v>
      </c>
    </row>
    <row r="264" spans="1:9" x14ac:dyDescent="0.3">
      <c r="A264" t="s">
        <v>90</v>
      </c>
      <c r="B264">
        <v>64478</v>
      </c>
      <c r="C264" t="s">
        <v>299</v>
      </c>
      <c r="D264" t="s">
        <v>21</v>
      </c>
      <c r="E264">
        <v>50401.83</v>
      </c>
      <c r="F264" s="1">
        <v>44217</v>
      </c>
      <c r="G264">
        <v>0.75</v>
      </c>
      <c r="H264" t="s">
        <v>12</v>
      </c>
      <c r="I264" t="s">
        <v>13</v>
      </c>
    </row>
    <row r="265" spans="1:9" x14ac:dyDescent="0.3">
      <c r="A265" t="s">
        <v>22</v>
      </c>
      <c r="B265">
        <v>18247</v>
      </c>
      <c r="C265" t="s">
        <v>300</v>
      </c>
      <c r="D265" t="s">
        <v>37</v>
      </c>
      <c r="E265">
        <v>97645.25</v>
      </c>
      <c r="F265" s="1">
        <v>42081</v>
      </c>
      <c r="G265">
        <v>0.5</v>
      </c>
      <c r="H265" t="s">
        <v>17</v>
      </c>
      <c r="I265" t="s">
        <v>13</v>
      </c>
    </row>
    <row r="266" spans="1:9" x14ac:dyDescent="0.3">
      <c r="A266" t="s">
        <v>22</v>
      </c>
      <c r="B266">
        <v>23003</v>
      </c>
      <c r="C266" t="s">
        <v>301</v>
      </c>
      <c r="D266" t="s">
        <v>24</v>
      </c>
      <c r="E266">
        <v>55913.17</v>
      </c>
      <c r="F266" s="1">
        <v>43895</v>
      </c>
      <c r="G266">
        <v>0.5</v>
      </c>
      <c r="H266" t="s">
        <v>17</v>
      </c>
      <c r="I266" t="s">
        <v>13</v>
      </c>
    </row>
    <row r="267" spans="1:9" x14ac:dyDescent="0.3">
      <c r="A267" t="s">
        <v>9</v>
      </c>
      <c r="B267">
        <v>64416</v>
      </c>
      <c r="C267" t="s">
        <v>302</v>
      </c>
      <c r="D267" t="s">
        <v>21</v>
      </c>
      <c r="E267">
        <v>39491.42</v>
      </c>
      <c r="F267" s="1">
        <v>45025</v>
      </c>
      <c r="G267">
        <v>1</v>
      </c>
      <c r="H267" t="s">
        <v>35</v>
      </c>
      <c r="I267" t="s">
        <v>13</v>
      </c>
    </row>
    <row r="268" spans="1:9" x14ac:dyDescent="0.3">
      <c r="A268" t="s">
        <v>9</v>
      </c>
      <c r="B268">
        <v>30467</v>
      </c>
      <c r="C268" t="s">
        <v>303</v>
      </c>
      <c r="D268" t="s">
        <v>24</v>
      </c>
      <c r="E268">
        <v>71480.539999999994</v>
      </c>
      <c r="F268" s="1">
        <v>42954</v>
      </c>
      <c r="G268">
        <v>0.5</v>
      </c>
      <c r="H268" t="s">
        <v>17</v>
      </c>
      <c r="I268" t="s">
        <v>13</v>
      </c>
    </row>
    <row r="269" spans="1:9" x14ac:dyDescent="0.3">
      <c r="A269" t="s">
        <v>33</v>
      </c>
      <c r="B269">
        <v>14024</v>
      </c>
      <c r="C269" t="s">
        <v>304</v>
      </c>
      <c r="D269" t="s">
        <v>24</v>
      </c>
      <c r="E269">
        <v>59717.62</v>
      </c>
      <c r="F269" s="1">
        <v>43827</v>
      </c>
      <c r="G269">
        <v>1</v>
      </c>
      <c r="H269" t="s">
        <v>17</v>
      </c>
      <c r="I269" t="s">
        <v>13</v>
      </c>
    </row>
    <row r="270" spans="1:9" x14ac:dyDescent="0.3">
      <c r="A270" t="s">
        <v>33</v>
      </c>
      <c r="B270">
        <v>68552</v>
      </c>
      <c r="C270" t="s">
        <v>305</v>
      </c>
      <c r="D270" t="s">
        <v>31</v>
      </c>
      <c r="E270">
        <v>45142.99</v>
      </c>
      <c r="F270" s="1">
        <v>42927</v>
      </c>
      <c r="G270">
        <v>0.5</v>
      </c>
      <c r="H270" t="s">
        <v>17</v>
      </c>
      <c r="I270" t="s">
        <v>13</v>
      </c>
    </row>
    <row r="271" spans="1:9" x14ac:dyDescent="0.3">
      <c r="A271" t="s">
        <v>14</v>
      </c>
      <c r="B271">
        <v>66503</v>
      </c>
      <c r="C271" t="s">
        <v>306</v>
      </c>
      <c r="D271" t="s">
        <v>24</v>
      </c>
      <c r="E271">
        <v>67953.89</v>
      </c>
      <c r="F271" s="1">
        <v>45015</v>
      </c>
      <c r="G271">
        <v>0.5</v>
      </c>
      <c r="H271" t="s">
        <v>12</v>
      </c>
      <c r="I271" t="s">
        <v>13</v>
      </c>
    </row>
    <row r="272" spans="1:9" x14ac:dyDescent="0.3">
      <c r="A272" t="s">
        <v>14</v>
      </c>
      <c r="B272">
        <v>99970</v>
      </c>
      <c r="C272" t="s">
        <v>307</v>
      </c>
      <c r="D272" t="s">
        <v>31</v>
      </c>
      <c r="E272">
        <v>110748.09</v>
      </c>
      <c r="F272" s="1">
        <v>45161</v>
      </c>
      <c r="G272">
        <v>1</v>
      </c>
      <c r="H272" t="s">
        <v>12</v>
      </c>
      <c r="I272" t="s">
        <v>13</v>
      </c>
    </row>
    <row r="273" spans="1:9" x14ac:dyDescent="0.3">
      <c r="A273" t="s">
        <v>25</v>
      </c>
      <c r="B273">
        <v>64659</v>
      </c>
      <c r="C273" t="s">
        <v>308</v>
      </c>
      <c r="D273" t="s">
        <v>11</v>
      </c>
      <c r="E273">
        <v>69174.320000000007</v>
      </c>
      <c r="F273" s="1">
        <v>45409</v>
      </c>
      <c r="G273">
        <v>0.75</v>
      </c>
      <c r="H273" t="s">
        <v>12</v>
      </c>
      <c r="I273" t="s">
        <v>13</v>
      </c>
    </row>
    <row r="274" spans="1:9" x14ac:dyDescent="0.3">
      <c r="A274" t="s">
        <v>47</v>
      </c>
      <c r="B274">
        <v>13949</v>
      </c>
      <c r="C274" t="s">
        <v>309</v>
      </c>
      <c r="D274" t="s">
        <v>24</v>
      </c>
      <c r="E274">
        <v>70256.27</v>
      </c>
      <c r="F274" s="1">
        <v>44486</v>
      </c>
      <c r="G274">
        <v>0.5</v>
      </c>
      <c r="H274" t="s">
        <v>17</v>
      </c>
      <c r="I274" t="s">
        <v>13</v>
      </c>
    </row>
    <row r="275" spans="1:9" x14ac:dyDescent="0.3">
      <c r="A275" t="s">
        <v>33</v>
      </c>
      <c r="B275">
        <v>75093</v>
      </c>
      <c r="C275" t="s">
        <v>310</v>
      </c>
      <c r="D275" t="s">
        <v>24</v>
      </c>
      <c r="E275">
        <v>93794.5</v>
      </c>
      <c r="F275" s="1">
        <v>42734</v>
      </c>
      <c r="G275">
        <v>0.75</v>
      </c>
      <c r="H275" t="s">
        <v>17</v>
      </c>
      <c r="I275" t="s">
        <v>206</v>
      </c>
    </row>
    <row r="276" spans="1:9" x14ac:dyDescent="0.3">
      <c r="A276" t="s">
        <v>9</v>
      </c>
      <c r="B276">
        <v>52532</v>
      </c>
      <c r="C276" t="s">
        <v>311</v>
      </c>
      <c r="D276" t="s">
        <v>31</v>
      </c>
      <c r="E276">
        <v>77174.570000000007</v>
      </c>
      <c r="F276" s="1">
        <v>44855</v>
      </c>
      <c r="G276">
        <v>1</v>
      </c>
      <c r="H276" t="s">
        <v>17</v>
      </c>
      <c r="I276" t="s">
        <v>312</v>
      </c>
    </row>
    <row r="277" spans="1:9" x14ac:dyDescent="0.3">
      <c r="A277" t="s">
        <v>47</v>
      </c>
      <c r="B277">
        <v>43106</v>
      </c>
      <c r="C277" t="s">
        <v>313</v>
      </c>
      <c r="D277" t="s">
        <v>11</v>
      </c>
      <c r="E277">
        <v>41630.07</v>
      </c>
      <c r="F277" s="1">
        <v>45335</v>
      </c>
      <c r="G277">
        <v>0.75</v>
      </c>
      <c r="H277" t="s">
        <v>12</v>
      </c>
      <c r="I277" t="s">
        <v>18</v>
      </c>
    </row>
    <row r="278" spans="1:9" x14ac:dyDescent="0.3">
      <c r="A278" t="s">
        <v>14</v>
      </c>
      <c r="B278">
        <v>20294</v>
      </c>
      <c r="C278" t="s">
        <v>314</v>
      </c>
      <c r="D278" t="s">
        <v>21</v>
      </c>
      <c r="E278">
        <v>111935.32</v>
      </c>
      <c r="F278" s="1">
        <v>43114</v>
      </c>
      <c r="G278">
        <v>1</v>
      </c>
      <c r="H278" t="s">
        <v>17</v>
      </c>
      <c r="I278" t="s">
        <v>144</v>
      </c>
    </row>
    <row r="279" spans="1:9" x14ac:dyDescent="0.3">
      <c r="A279" t="s">
        <v>14</v>
      </c>
      <c r="B279">
        <v>56203</v>
      </c>
      <c r="C279" t="s">
        <v>315</v>
      </c>
      <c r="D279" t="s">
        <v>16</v>
      </c>
      <c r="E279">
        <v>69971.19</v>
      </c>
      <c r="F279" s="1">
        <v>44531</v>
      </c>
      <c r="G279">
        <v>1</v>
      </c>
      <c r="H279" t="s">
        <v>17</v>
      </c>
      <c r="I279" t="s">
        <v>18</v>
      </c>
    </row>
    <row r="280" spans="1:9" x14ac:dyDescent="0.3">
      <c r="A280" t="s">
        <v>38</v>
      </c>
      <c r="B280">
        <v>19218</v>
      </c>
      <c r="C280" t="s">
        <v>316</v>
      </c>
      <c r="D280" t="s">
        <v>37</v>
      </c>
      <c r="E280">
        <v>101040.4</v>
      </c>
      <c r="F280" s="1">
        <v>41993</v>
      </c>
      <c r="G280">
        <v>1</v>
      </c>
      <c r="H280" t="s">
        <v>17</v>
      </c>
      <c r="I280" t="s">
        <v>144</v>
      </c>
    </row>
    <row r="281" spans="1:9" x14ac:dyDescent="0.3">
      <c r="A281" t="s">
        <v>25</v>
      </c>
      <c r="B281">
        <v>25909</v>
      </c>
      <c r="C281" t="s">
        <v>317</v>
      </c>
      <c r="D281" t="s">
        <v>24</v>
      </c>
      <c r="E281">
        <v>64998.76</v>
      </c>
      <c r="F281" s="1">
        <v>43298</v>
      </c>
      <c r="G281">
        <v>0.5</v>
      </c>
      <c r="H281" t="s">
        <v>17</v>
      </c>
      <c r="I281" t="s">
        <v>312</v>
      </c>
    </row>
    <row r="282" spans="1:9" x14ac:dyDescent="0.3">
      <c r="A282" t="s">
        <v>22</v>
      </c>
      <c r="B282">
        <v>57088</v>
      </c>
      <c r="C282" t="s">
        <v>318</v>
      </c>
      <c r="D282" t="s">
        <v>24</v>
      </c>
      <c r="E282">
        <v>102616.14</v>
      </c>
      <c r="F282" s="1">
        <v>44819</v>
      </c>
      <c r="G282">
        <v>1</v>
      </c>
      <c r="H282" t="s">
        <v>12</v>
      </c>
      <c r="I282" t="s">
        <v>76</v>
      </c>
    </row>
    <row r="283" spans="1:9" x14ac:dyDescent="0.3">
      <c r="A283" t="s">
        <v>27</v>
      </c>
      <c r="B283">
        <v>13850</v>
      </c>
      <c r="C283" t="s">
        <v>319</v>
      </c>
      <c r="D283" t="s">
        <v>21</v>
      </c>
      <c r="E283">
        <v>65058.28</v>
      </c>
      <c r="F283" s="1">
        <v>43763</v>
      </c>
      <c r="G283">
        <v>0.75</v>
      </c>
      <c r="H283" t="s">
        <v>17</v>
      </c>
      <c r="I283" t="s">
        <v>144</v>
      </c>
    </row>
    <row r="284" spans="1:9" x14ac:dyDescent="0.3">
      <c r="A284" t="s">
        <v>47</v>
      </c>
      <c r="B284">
        <v>55278</v>
      </c>
      <c r="C284" t="s">
        <v>320</v>
      </c>
      <c r="D284" t="s">
        <v>21</v>
      </c>
      <c r="E284">
        <v>49814.36</v>
      </c>
      <c r="F284" s="1">
        <v>45242</v>
      </c>
      <c r="G284">
        <v>1</v>
      </c>
      <c r="H284" t="s">
        <v>12</v>
      </c>
      <c r="I284" t="s">
        <v>144</v>
      </c>
    </row>
    <row r="285" spans="1:9" x14ac:dyDescent="0.3">
      <c r="A285" t="s">
        <v>14</v>
      </c>
      <c r="B285">
        <v>55597</v>
      </c>
      <c r="C285" t="s">
        <v>321</v>
      </c>
      <c r="D285" t="s">
        <v>21</v>
      </c>
      <c r="E285">
        <v>47657.52</v>
      </c>
      <c r="F285" s="1">
        <v>43009</v>
      </c>
      <c r="G285">
        <v>0.75</v>
      </c>
      <c r="H285" t="s">
        <v>17</v>
      </c>
      <c r="I285" t="s">
        <v>18</v>
      </c>
    </row>
    <row r="286" spans="1:9" x14ac:dyDescent="0.3">
      <c r="A286" t="s">
        <v>47</v>
      </c>
      <c r="B286">
        <v>33318</v>
      </c>
      <c r="C286" t="s">
        <v>322</v>
      </c>
      <c r="D286" t="s">
        <v>24</v>
      </c>
      <c r="E286">
        <v>114603.12</v>
      </c>
      <c r="F286" s="1">
        <v>41792</v>
      </c>
      <c r="G286">
        <v>1</v>
      </c>
      <c r="H286" t="s">
        <v>17</v>
      </c>
      <c r="I286" t="s">
        <v>144</v>
      </c>
    </row>
    <row r="287" spans="1:9" x14ac:dyDescent="0.3">
      <c r="A287" t="s">
        <v>38</v>
      </c>
      <c r="B287">
        <v>11306</v>
      </c>
      <c r="C287" t="s">
        <v>323</v>
      </c>
      <c r="D287" t="s">
        <v>24</v>
      </c>
      <c r="E287">
        <v>82787.72</v>
      </c>
      <c r="F287" s="1">
        <v>42059</v>
      </c>
      <c r="G287">
        <v>0.75</v>
      </c>
      <c r="H287" t="s">
        <v>17</v>
      </c>
      <c r="I287" t="s">
        <v>13</v>
      </c>
    </row>
    <row r="288" spans="1:9" x14ac:dyDescent="0.3">
      <c r="A288" t="s">
        <v>25</v>
      </c>
      <c r="B288">
        <v>40211</v>
      </c>
      <c r="C288" t="s">
        <v>324</v>
      </c>
      <c r="D288" t="s">
        <v>16</v>
      </c>
      <c r="E288">
        <v>34481.39</v>
      </c>
      <c r="F288" s="1">
        <v>42175</v>
      </c>
      <c r="G288">
        <v>1</v>
      </c>
      <c r="H288" t="s">
        <v>17</v>
      </c>
      <c r="I288" t="s">
        <v>13</v>
      </c>
    </row>
    <row r="289" spans="1:9" x14ac:dyDescent="0.3">
      <c r="A289" t="s">
        <v>27</v>
      </c>
      <c r="B289">
        <v>57946</v>
      </c>
      <c r="C289" t="s">
        <v>325</v>
      </c>
      <c r="D289" t="s">
        <v>31</v>
      </c>
      <c r="E289">
        <v>64951.28</v>
      </c>
      <c r="F289" s="1">
        <v>42622</v>
      </c>
      <c r="G289">
        <v>0.5</v>
      </c>
      <c r="H289" t="s">
        <v>17</v>
      </c>
      <c r="I289" t="s">
        <v>13</v>
      </c>
    </row>
    <row r="290" spans="1:9" x14ac:dyDescent="0.3">
      <c r="A290" t="s">
        <v>9</v>
      </c>
      <c r="B290">
        <v>19242</v>
      </c>
      <c r="C290" t="s">
        <v>326</v>
      </c>
      <c r="D290" t="s">
        <v>11</v>
      </c>
      <c r="E290">
        <v>51062.63</v>
      </c>
      <c r="F290" s="1">
        <v>43298</v>
      </c>
      <c r="G290">
        <v>0.75</v>
      </c>
      <c r="H290" t="s">
        <v>17</v>
      </c>
      <c r="I290" t="s">
        <v>13</v>
      </c>
    </row>
    <row r="291" spans="1:9" x14ac:dyDescent="0.3">
      <c r="A291" t="s">
        <v>33</v>
      </c>
      <c r="B291">
        <v>88196</v>
      </c>
      <c r="C291" t="s">
        <v>327</v>
      </c>
      <c r="D291" t="s">
        <v>31</v>
      </c>
      <c r="E291">
        <v>37619.14</v>
      </c>
      <c r="F291" s="1">
        <v>44543</v>
      </c>
      <c r="G291">
        <v>1</v>
      </c>
      <c r="H291" t="s">
        <v>17</v>
      </c>
      <c r="I291" t="s">
        <v>13</v>
      </c>
    </row>
    <row r="292" spans="1:9" x14ac:dyDescent="0.3">
      <c r="A292" t="s">
        <v>47</v>
      </c>
      <c r="B292">
        <v>28781</v>
      </c>
      <c r="C292" t="s">
        <v>328</v>
      </c>
      <c r="D292" t="s">
        <v>11</v>
      </c>
      <c r="E292">
        <v>46808.03</v>
      </c>
      <c r="F292" s="1">
        <v>43180</v>
      </c>
      <c r="G292">
        <v>0.75</v>
      </c>
      <c r="H292" t="s">
        <v>17</v>
      </c>
      <c r="I292" t="s">
        <v>13</v>
      </c>
    </row>
    <row r="293" spans="1:9" x14ac:dyDescent="0.3">
      <c r="A293" t="s">
        <v>47</v>
      </c>
      <c r="B293">
        <v>37260</v>
      </c>
      <c r="C293" t="s">
        <v>329</v>
      </c>
      <c r="D293" t="s">
        <v>16</v>
      </c>
      <c r="E293">
        <v>35129.14</v>
      </c>
      <c r="F293" s="1">
        <v>42466</v>
      </c>
      <c r="G293">
        <v>0.5</v>
      </c>
      <c r="H293" t="s">
        <v>17</v>
      </c>
      <c r="I293" t="s">
        <v>13</v>
      </c>
    </row>
    <row r="294" spans="1:9" x14ac:dyDescent="0.3">
      <c r="A294" t="s">
        <v>19</v>
      </c>
      <c r="B294">
        <v>10423</v>
      </c>
      <c r="C294" t="s">
        <v>330</v>
      </c>
      <c r="D294" t="s">
        <v>37</v>
      </c>
      <c r="E294">
        <v>87426.63</v>
      </c>
      <c r="F294" s="1">
        <v>44993</v>
      </c>
      <c r="G294">
        <v>0.75</v>
      </c>
      <c r="H294" t="s">
        <v>12</v>
      </c>
      <c r="I294" t="s">
        <v>13</v>
      </c>
    </row>
    <row r="295" spans="1:9" x14ac:dyDescent="0.3">
      <c r="A295" t="s">
        <v>38</v>
      </c>
      <c r="B295">
        <v>36842</v>
      </c>
      <c r="C295" t="s">
        <v>331</v>
      </c>
      <c r="D295" t="s">
        <v>24</v>
      </c>
      <c r="E295">
        <v>45603.65</v>
      </c>
      <c r="F295" s="1">
        <v>44433</v>
      </c>
      <c r="G295">
        <v>1</v>
      </c>
      <c r="H295" t="s">
        <v>17</v>
      </c>
      <c r="I295" t="s">
        <v>13</v>
      </c>
    </row>
    <row r="296" spans="1:9" x14ac:dyDescent="0.3">
      <c r="A296" t="s">
        <v>22</v>
      </c>
      <c r="B296">
        <v>96378</v>
      </c>
      <c r="C296" t="s">
        <v>332</v>
      </c>
      <c r="D296" t="s">
        <v>24</v>
      </c>
      <c r="E296">
        <v>84970.19</v>
      </c>
      <c r="F296" s="1">
        <v>43568</v>
      </c>
      <c r="G296">
        <v>1</v>
      </c>
      <c r="H296" t="s">
        <v>17</v>
      </c>
      <c r="I296" t="s">
        <v>13</v>
      </c>
    </row>
    <row r="297" spans="1:9" x14ac:dyDescent="0.3">
      <c r="A297" t="s">
        <v>27</v>
      </c>
      <c r="B297">
        <v>98310</v>
      </c>
      <c r="C297" t="s">
        <v>333</v>
      </c>
      <c r="D297" t="s">
        <v>37</v>
      </c>
      <c r="E297">
        <v>85125.61</v>
      </c>
      <c r="F297" s="1">
        <v>43890</v>
      </c>
      <c r="G297">
        <v>0.5</v>
      </c>
      <c r="H297" t="s">
        <v>17</v>
      </c>
      <c r="I297" t="s">
        <v>13</v>
      </c>
    </row>
    <row r="298" spans="1:9" x14ac:dyDescent="0.3">
      <c r="A298" t="s">
        <v>9</v>
      </c>
      <c r="B298">
        <v>26146</v>
      </c>
      <c r="C298" t="s">
        <v>334</v>
      </c>
      <c r="D298" t="s">
        <v>37</v>
      </c>
      <c r="E298">
        <v>93443.13</v>
      </c>
      <c r="F298" s="1">
        <v>44855</v>
      </c>
      <c r="G298">
        <v>1</v>
      </c>
      <c r="H298" t="s">
        <v>17</v>
      </c>
      <c r="I298" t="s">
        <v>13</v>
      </c>
    </row>
    <row r="299" spans="1:9" x14ac:dyDescent="0.3">
      <c r="A299" t="s">
        <v>14</v>
      </c>
      <c r="B299">
        <v>10941</v>
      </c>
      <c r="C299" t="s">
        <v>335</v>
      </c>
      <c r="D299" t="s">
        <v>31</v>
      </c>
      <c r="E299">
        <v>76090.679999999993</v>
      </c>
      <c r="F299" s="1">
        <v>42982</v>
      </c>
      <c r="G299">
        <v>0.75</v>
      </c>
      <c r="H299" t="s">
        <v>17</v>
      </c>
      <c r="I299" t="s">
        <v>13</v>
      </c>
    </row>
    <row r="300" spans="1:9" x14ac:dyDescent="0.3">
      <c r="A300" t="s">
        <v>25</v>
      </c>
      <c r="B300">
        <v>48438</v>
      </c>
      <c r="C300" t="s">
        <v>336</v>
      </c>
      <c r="D300" t="s">
        <v>21</v>
      </c>
      <c r="E300">
        <v>55598.16</v>
      </c>
      <c r="F300" s="1">
        <v>42803</v>
      </c>
      <c r="G300">
        <v>0.75</v>
      </c>
      <c r="H300" t="s">
        <v>17</v>
      </c>
      <c r="I300" t="s">
        <v>13</v>
      </c>
    </row>
    <row r="301" spans="1:9" x14ac:dyDescent="0.3">
      <c r="A301" t="s">
        <v>27</v>
      </c>
      <c r="B301">
        <v>58382</v>
      </c>
      <c r="C301" t="s">
        <v>337</v>
      </c>
      <c r="D301" t="s">
        <v>37</v>
      </c>
      <c r="E301">
        <v>108971.17</v>
      </c>
      <c r="F301" s="1">
        <v>44104</v>
      </c>
      <c r="G301">
        <v>1</v>
      </c>
      <c r="H301" t="s">
        <v>17</v>
      </c>
      <c r="I301" t="s">
        <v>13</v>
      </c>
    </row>
    <row r="302" spans="1:9" x14ac:dyDescent="0.3">
      <c r="A302" t="s">
        <v>9</v>
      </c>
      <c r="B302">
        <v>99001</v>
      </c>
      <c r="C302" t="s">
        <v>338</v>
      </c>
      <c r="D302" t="s">
        <v>24</v>
      </c>
      <c r="E302">
        <v>56423.87</v>
      </c>
      <c r="F302" s="1">
        <v>45295</v>
      </c>
      <c r="G302">
        <v>0.75</v>
      </c>
      <c r="H302" t="s">
        <v>17</v>
      </c>
      <c r="I302" t="s">
        <v>13</v>
      </c>
    </row>
    <row r="303" spans="1:9" x14ac:dyDescent="0.3">
      <c r="A303" t="s">
        <v>14</v>
      </c>
      <c r="B303">
        <v>99002</v>
      </c>
      <c r="C303" t="s">
        <v>339</v>
      </c>
      <c r="D303" t="s">
        <v>16</v>
      </c>
      <c r="E303">
        <v>61234.76</v>
      </c>
      <c r="F303" s="1">
        <v>45306</v>
      </c>
      <c r="G303">
        <v>1</v>
      </c>
      <c r="H303" t="s">
        <v>12</v>
      </c>
      <c r="I303" t="s">
        <v>13</v>
      </c>
    </row>
    <row r="304" spans="1:9" x14ac:dyDescent="0.3">
      <c r="A304" t="s">
        <v>19</v>
      </c>
      <c r="B304">
        <v>99003</v>
      </c>
      <c r="C304" t="s">
        <v>340</v>
      </c>
      <c r="D304" t="s">
        <v>21</v>
      </c>
      <c r="E304">
        <v>78345.22</v>
      </c>
      <c r="F304" s="1">
        <v>45325</v>
      </c>
      <c r="G304">
        <v>0.5</v>
      </c>
      <c r="H304" t="s">
        <v>35</v>
      </c>
      <c r="I304" t="s">
        <v>13</v>
      </c>
    </row>
    <row r="305" spans="1:9" x14ac:dyDescent="0.3">
      <c r="A305" t="s">
        <v>22</v>
      </c>
      <c r="B305">
        <v>99004</v>
      </c>
      <c r="C305" t="s">
        <v>341</v>
      </c>
      <c r="D305" t="s">
        <v>31</v>
      </c>
      <c r="E305">
        <v>70234.559999999998</v>
      </c>
      <c r="F305" s="1">
        <v>45347</v>
      </c>
      <c r="G305">
        <v>1</v>
      </c>
      <c r="H305" t="s">
        <v>17</v>
      </c>
      <c r="I305" t="s">
        <v>13</v>
      </c>
    </row>
    <row r="306" spans="1:9" x14ac:dyDescent="0.3">
      <c r="A306" t="s">
        <v>25</v>
      </c>
      <c r="B306">
        <v>99005</v>
      </c>
      <c r="C306" t="s">
        <v>342</v>
      </c>
      <c r="D306" t="s">
        <v>37</v>
      </c>
      <c r="E306">
        <v>83567.89</v>
      </c>
      <c r="F306" s="1">
        <v>45352</v>
      </c>
      <c r="G306">
        <v>0.75</v>
      </c>
      <c r="H306" t="s">
        <v>17</v>
      </c>
      <c r="I306" t="s">
        <v>13</v>
      </c>
    </row>
    <row r="307" spans="1:9" x14ac:dyDescent="0.3">
      <c r="A307" t="s">
        <v>27</v>
      </c>
      <c r="B307">
        <v>99006</v>
      </c>
      <c r="C307" t="s">
        <v>343</v>
      </c>
      <c r="D307" t="s">
        <v>11</v>
      </c>
      <c r="E307">
        <v>90345.12</v>
      </c>
      <c r="F307" s="1">
        <v>45363</v>
      </c>
      <c r="G307">
        <v>1</v>
      </c>
      <c r="H307" t="s">
        <v>12</v>
      </c>
      <c r="I307" t="s">
        <v>13</v>
      </c>
    </row>
    <row r="308" spans="1:9" x14ac:dyDescent="0.3">
      <c r="A308" t="s">
        <v>33</v>
      </c>
      <c r="B308">
        <v>99007</v>
      </c>
      <c r="C308" t="s">
        <v>344</v>
      </c>
      <c r="D308" t="s">
        <v>24</v>
      </c>
      <c r="E308">
        <v>72345.78</v>
      </c>
      <c r="F308" s="1">
        <v>45386</v>
      </c>
      <c r="G308">
        <v>0.75</v>
      </c>
      <c r="H308" t="s">
        <v>17</v>
      </c>
      <c r="I308" t="s">
        <v>13</v>
      </c>
    </row>
    <row r="309" spans="1:9" x14ac:dyDescent="0.3">
      <c r="A309" t="s">
        <v>47</v>
      </c>
      <c r="B309">
        <v>99008</v>
      </c>
      <c r="C309" t="s">
        <v>345</v>
      </c>
      <c r="D309" t="s">
        <v>21</v>
      </c>
      <c r="E309">
        <v>62345.34</v>
      </c>
      <c r="F309" s="1">
        <v>45397</v>
      </c>
      <c r="G309">
        <v>1</v>
      </c>
      <c r="H309" t="s">
        <v>35</v>
      </c>
      <c r="I309" t="s">
        <v>13</v>
      </c>
    </row>
    <row r="310" spans="1:9" x14ac:dyDescent="0.3">
      <c r="A310" t="s">
        <v>90</v>
      </c>
      <c r="B310">
        <v>99009</v>
      </c>
      <c r="C310" t="s">
        <v>346</v>
      </c>
      <c r="D310" t="s">
        <v>16</v>
      </c>
      <c r="E310">
        <v>71234.45</v>
      </c>
      <c r="F310" s="1">
        <v>45410</v>
      </c>
      <c r="G310">
        <v>0.5</v>
      </c>
      <c r="H310" t="s">
        <v>12</v>
      </c>
      <c r="I310" t="s">
        <v>13</v>
      </c>
    </row>
    <row r="311" spans="1:9" x14ac:dyDescent="0.3">
      <c r="A311" t="s">
        <v>9</v>
      </c>
      <c r="B311">
        <v>99010</v>
      </c>
      <c r="C311" t="s">
        <v>347</v>
      </c>
      <c r="D311" t="s">
        <v>37</v>
      </c>
      <c r="E311">
        <v>91234.559999999998</v>
      </c>
      <c r="F311" s="1">
        <v>45413</v>
      </c>
      <c r="G311">
        <v>0.75</v>
      </c>
      <c r="H311" t="s">
        <v>17</v>
      </c>
      <c r="I311" t="s">
        <v>13</v>
      </c>
    </row>
    <row r="312" spans="1:9" x14ac:dyDescent="0.3">
      <c r="A312" t="s">
        <v>19</v>
      </c>
      <c r="B312">
        <v>99011</v>
      </c>
      <c r="C312" t="s">
        <v>348</v>
      </c>
      <c r="D312" t="s">
        <v>31</v>
      </c>
      <c r="E312">
        <v>80345.67</v>
      </c>
      <c r="F312" s="1">
        <v>45426</v>
      </c>
      <c r="G312">
        <v>1</v>
      </c>
      <c r="H312" t="s">
        <v>12</v>
      </c>
      <c r="I312" t="s">
        <v>13</v>
      </c>
    </row>
    <row r="313" spans="1:9" x14ac:dyDescent="0.3">
      <c r="A313" t="s">
        <v>22</v>
      </c>
      <c r="B313">
        <v>99012</v>
      </c>
      <c r="C313" t="s">
        <v>349</v>
      </c>
      <c r="D313" t="s">
        <v>11</v>
      </c>
      <c r="E313">
        <v>75345.119999999995</v>
      </c>
      <c r="F313" s="1">
        <v>45440</v>
      </c>
      <c r="G313">
        <v>0.5</v>
      </c>
      <c r="H313" t="s">
        <v>17</v>
      </c>
      <c r="I313" t="s">
        <v>13</v>
      </c>
    </row>
    <row r="314" spans="1:9" x14ac:dyDescent="0.3">
      <c r="A314" t="s">
        <v>38</v>
      </c>
      <c r="B314">
        <v>99013</v>
      </c>
      <c r="C314" t="s">
        <v>350</v>
      </c>
      <c r="D314" t="s">
        <v>24</v>
      </c>
      <c r="E314">
        <v>84356.78</v>
      </c>
      <c r="F314" s="1">
        <v>45445</v>
      </c>
      <c r="G314">
        <v>1</v>
      </c>
      <c r="H314" t="s">
        <v>35</v>
      </c>
      <c r="I314" t="s">
        <v>13</v>
      </c>
    </row>
    <row r="315" spans="1:9" x14ac:dyDescent="0.3">
      <c r="A315" t="s">
        <v>33</v>
      </c>
      <c r="B315">
        <v>99014</v>
      </c>
      <c r="C315" t="s">
        <v>351</v>
      </c>
      <c r="D315" t="s">
        <v>16</v>
      </c>
      <c r="E315">
        <v>93234.559999999998</v>
      </c>
      <c r="F315" s="1">
        <v>45458</v>
      </c>
      <c r="G315">
        <v>0.75</v>
      </c>
      <c r="H315" t="s">
        <v>12</v>
      </c>
      <c r="I315" t="s">
        <v>13</v>
      </c>
    </row>
    <row r="316" spans="1:9" x14ac:dyDescent="0.3">
      <c r="A316" t="s">
        <v>14</v>
      </c>
      <c r="B316">
        <v>99015</v>
      </c>
      <c r="C316" t="s">
        <v>352</v>
      </c>
      <c r="D316" t="s">
        <v>37</v>
      </c>
      <c r="E316">
        <v>51234.67</v>
      </c>
      <c r="F316" s="1">
        <v>45471</v>
      </c>
      <c r="G316">
        <v>0.5</v>
      </c>
      <c r="H316" t="s">
        <v>17</v>
      </c>
      <c r="I316" t="s">
        <v>13</v>
      </c>
    </row>
    <row r="317" spans="1:9" x14ac:dyDescent="0.3">
      <c r="A317" t="s">
        <v>27</v>
      </c>
      <c r="B317">
        <v>99016</v>
      </c>
      <c r="C317" t="s">
        <v>353</v>
      </c>
      <c r="D317" t="s">
        <v>21</v>
      </c>
      <c r="E317">
        <v>65234.559999999998</v>
      </c>
      <c r="F317" s="1">
        <v>45474</v>
      </c>
      <c r="G317">
        <v>1</v>
      </c>
      <c r="H317" t="s">
        <v>17</v>
      </c>
      <c r="I317" t="s">
        <v>13</v>
      </c>
    </row>
    <row r="318" spans="1:9" x14ac:dyDescent="0.3">
      <c r="A318" t="s">
        <v>22</v>
      </c>
      <c r="B318">
        <v>99017</v>
      </c>
      <c r="C318" t="s">
        <v>354</v>
      </c>
      <c r="D318" t="s">
        <v>24</v>
      </c>
      <c r="E318">
        <v>75234.12</v>
      </c>
      <c r="F318" s="1">
        <v>45487</v>
      </c>
      <c r="G318">
        <v>0.75</v>
      </c>
      <c r="H318" t="s">
        <v>12</v>
      </c>
      <c r="I318" t="s">
        <v>60</v>
      </c>
    </row>
    <row r="319" spans="1:9" x14ac:dyDescent="0.3">
      <c r="A319" t="s">
        <v>47</v>
      </c>
      <c r="B319">
        <v>99018</v>
      </c>
      <c r="C319" t="s">
        <v>355</v>
      </c>
      <c r="D319" t="s">
        <v>11</v>
      </c>
      <c r="E319">
        <v>89234.45</v>
      </c>
      <c r="F319" s="1">
        <v>45498</v>
      </c>
      <c r="G319">
        <v>0.75</v>
      </c>
      <c r="H319" t="s">
        <v>35</v>
      </c>
      <c r="I319" t="s">
        <v>18</v>
      </c>
    </row>
    <row r="320" spans="1:9" x14ac:dyDescent="0.3">
      <c r="A320" t="s">
        <v>25</v>
      </c>
      <c r="B320">
        <v>99019</v>
      </c>
      <c r="C320" t="s">
        <v>356</v>
      </c>
      <c r="D320" t="s">
        <v>31</v>
      </c>
      <c r="E320">
        <v>60345.67</v>
      </c>
      <c r="F320" s="1">
        <v>45507</v>
      </c>
      <c r="G320">
        <v>1</v>
      </c>
      <c r="H320" t="s">
        <v>17</v>
      </c>
      <c r="I320" t="s">
        <v>18</v>
      </c>
    </row>
    <row r="321" spans="1:9" x14ac:dyDescent="0.3">
      <c r="A321" t="s">
        <v>27</v>
      </c>
      <c r="B321">
        <v>99020</v>
      </c>
      <c r="C321" t="s">
        <v>357</v>
      </c>
      <c r="D321" t="s">
        <v>37</v>
      </c>
      <c r="E321">
        <v>70234.89</v>
      </c>
      <c r="F321" s="1">
        <v>45519</v>
      </c>
      <c r="G321">
        <v>1</v>
      </c>
      <c r="H321" t="s">
        <v>12</v>
      </c>
      <c r="I321" t="s">
        <v>13</v>
      </c>
    </row>
    <row r="322" spans="1:9" x14ac:dyDescent="0.3">
      <c r="A322" t="s">
        <v>27</v>
      </c>
      <c r="B322">
        <v>99021</v>
      </c>
      <c r="C322" t="s">
        <v>387</v>
      </c>
      <c r="D322" t="s">
        <v>37</v>
      </c>
      <c r="E322">
        <v>150000</v>
      </c>
      <c r="F322" s="1">
        <v>45520</v>
      </c>
      <c r="G322">
        <v>2</v>
      </c>
      <c r="H322" t="s">
        <v>12</v>
      </c>
      <c r="I322" t="s">
        <v>388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7A77-4E6E-4244-9926-8DE5764616F8}">
  <dimension ref="A1:M23"/>
  <sheetViews>
    <sheetView workbookViewId="0">
      <selection activeCell="A18" sqref="A18"/>
    </sheetView>
  </sheetViews>
  <sheetFormatPr defaultRowHeight="15.6" x14ac:dyDescent="0.3"/>
  <cols>
    <col min="1" max="1" width="4.09765625" customWidth="1"/>
    <col min="2" max="2" width="32.69921875" customWidth="1"/>
    <col min="4" max="4" width="12.19921875" bestFit="1" customWidth="1"/>
    <col min="5" max="5" width="10.09765625" bestFit="1" customWidth="1"/>
    <col min="6" max="6" width="13.19921875" bestFit="1" customWidth="1"/>
    <col min="7" max="8" width="12.3984375" bestFit="1" customWidth="1"/>
    <col min="9" max="9" width="12.796875" bestFit="1" customWidth="1"/>
    <col min="10" max="10" width="10.09765625" bestFit="1" customWidth="1"/>
    <col min="11" max="11" width="12.796875" bestFit="1" customWidth="1"/>
    <col min="12" max="12" width="12.19921875" bestFit="1" customWidth="1"/>
    <col min="13" max="13" width="10.09765625" bestFit="1" customWidth="1"/>
  </cols>
  <sheetData>
    <row r="1" spans="1:13" x14ac:dyDescent="0.3">
      <c r="A1" s="2" t="s">
        <v>358</v>
      </c>
      <c r="B1" s="3"/>
      <c r="C1" s="3"/>
      <c r="D1" s="3"/>
      <c r="E1" s="3"/>
      <c r="F1" s="3"/>
      <c r="G1" s="3"/>
    </row>
    <row r="3" spans="1:13" x14ac:dyDescent="0.3">
      <c r="B3" s="2" t="s">
        <v>359</v>
      </c>
      <c r="D3" t="s">
        <v>368</v>
      </c>
      <c r="I3" t="str">
        <f>B8</f>
        <v>Headcount by department</v>
      </c>
      <c r="L3" t="str">
        <f>B9</f>
        <v>Headcount by Employment type</v>
      </c>
    </row>
    <row r="4" spans="1:13" x14ac:dyDescent="0.3">
      <c r="A4" s="4"/>
      <c r="B4" t="s">
        <v>360</v>
      </c>
    </row>
    <row r="5" spans="1:13" x14ac:dyDescent="0.3">
      <c r="A5" s="4"/>
      <c r="B5" t="s">
        <v>361</v>
      </c>
      <c r="D5" t="s">
        <v>369</v>
      </c>
      <c r="E5" t="s">
        <v>370</v>
      </c>
      <c r="F5" t="s">
        <v>362</v>
      </c>
      <c r="G5" t="s">
        <v>371</v>
      </c>
      <c r="I5" s="7" t="s">
        <v>372</v>
      </c>
      <c r="J5" t="s">
        <v>369</v>
      </c>
      <c r="L5" s="7" t="s">
        <v>372</v>
      </c>
      <c r="M5" t="s">
        <v>369</v>
      </c>
    </row>
    <row r="6" spans="1:13" x14ac:dyDescent="0.3">
      <c r="A6" s="4"/>
      <c r="B6" t="s">
        <v>362</v>
      </c>
      <c r="D6">
        <v>321</v>
      </c>
      <c r="E6">
        <v>261.75</v>
      </c>
      <c r="F6" s="6">
        <v>73618.742803738394</v>
      </c>
      <c r="G6" s="6">
        <v>150000</v>
      </c>
      <c r="I6" s="8" t="s">
        <v>374</v>
      </c>
      <c r="J6">
        <v>48</v>
      </c>
      <c r="L6" s="8" t="s">
        <v>17</v>
      </c>
      <c r="M6">
        <v>236</v>
      </c>
    </row>
    <row r="7" spans="1:13" x14ac:dyDescent="0.3">
      <c r="A7" s="4"/>
      <c r="B7" t="s">
        <v>363</v>
      </c>
      <c r="I7" s="8" t="s">
        <v>375</v>
      </c>
      <c r="J7">
        <v>62</v>
      </c>
      <c r="L7" s="8" t="s">
        <v>12</v>
      </c>
      <c r="M7">
        <v>72</v>
      </c>
    </row>
    <row r="8" spans="1:13" x14ac:dyDescent="0.3">
      <c r="A8" s="4"/>
      <c r="B8" t="s">
        <v>364</v>
      </c>
      <c r="I8" s="8" t="s">
        <v>376</v>
      </c>
      <c r="J8">
        <v>56</v>
      </c>
      <c r="L8" s="8" t="s">
        <v>35</v>
      </c>
      <c r="M8">
        <v>13</v>
      </c>
    </row>
    <row r="9" spans="1:13" x14ac:dyDescent="0.3">
      <c r="A9" s="4"/>
      <c r="B9" t="s">
        <v>365</v>
      </c>
      <c r="I9" s="8" t="s">
        <v>377</v>
      </c>
      <c r="J9">
        <v>51</v>
      </c>
      <c r="L9" s="8" t="s">
        <v>373</v>
      </c>
      <c r="M9">
        <v>321</v>
      </c>
    </row>
    <row r="10" spans="1:13" x14ac:dyDescent="0.3">
      <c r="A10" s="4"/>
      <c r="B10" t="s">
        <v>366</v>
      </c>
      <c r="I10" s="8" t="s">
        <v>378</v>
      </c>
      <c r="J10">
        <v>50</v>
      </c>
    </row>
    <row r="11" spans="1:13" x14ac:dyDescent="0.3">
      <c r="A11" s="4"/>
      <c r="B11" t="s">
        <v>367</v>
      </c>
      <c r="I11" s="8" t="s">
        <v>379</v>
      </c>
      <c r="J11">
        <v>54</v>
      </c>
    </row>
    <row r="12" spans="1:13" x14ac:dyDescent="0.3">
      <c r="I12" s="8" t="s">
        <v>373</v>
      </c>
      <c r="J12">
        <v>321</v>
      </c>
    </row>
    <row r="13" spans="1:13" ht="16.2" thickBot="1" x14ac:dyDescent="0.35">
      <c r="B13" s="9"/>
    </row>
    <row r="14" spans="1:13" ht="16.8" thickTop="1" thickBot="1" x14ac:dyDescent="0.35">
      <c r="A14" s="10"/>
      <c r="B14" s="5"/>
      <c r="D14" t="str">
        <f>B10</f>
        <v>Top 10 earners by department</v>
      </c>
    </row>
    <row r="15" spans="1:13" ht="16.8" thickTop="1" thickBot="1" x14ac:dyDescent="0.35">
      <c r="A15" s="10"/>
      <c r="B15" s="5"/>
    </row>
    <row r="16" spans="1:13" ht="16.8" thickTop="1" thickBot="1" x14ac:dyDescent="0.35">
      <c r="A16" s="10"/>
      <c r="B16" s="5"/>
      <c r="D16" t="str">
        <f>B11</f>
        <v>Employees by department and location</v>
      </c>
    </row>
    <row r="17" spans="1:11" ht="16.8" thickTop="1" thickBot="1" x14ac:dyDescent="0.35">
      <c r="A17" s="10"/>
      <c r="B17" s="5"/>
    </row>
    <row r="18" spans="1:11" ht="16.8" thickTop="1" thickBot="1" x14ac:dyDescent="0.35">
      <c r="A18" s="10"/>
      <c r="B18" s="5"/>
      <c r="D18" s="7" t="s">
        <v>372</v>
      </c>
      <c r="E18" t="s">
        <v>369</v>
      </c>
      <c r="G18" t="str" cm="1">
        <f t="array" ref="G18:H23">_xlfn._xlws.FILTER(D18:E32,D18:D32&lt;&gt;"")</f>
        <v>Row Labels</v>
      </c>
      <c r="H18" t="str">
        <v>Headcount</v>
      </c>
      <c r="K18" t="s">
        <v>386</v>
      </c>
    </row>
    <row r="19" spans="1:11" x14ac:dyDescent="0.3">
      <c r="D19" s="8" t="s">
        <v>13</v>
      </c>
      <c r="E19">
        <v>42</v>
      </c>
      <c r="G19" t="str">
        <v>California</v>
      </c>
      <c r="H19">
        <v>42</v>
      </c>
      <c r="K19" s="7" t="s">
        <v>372</v>
      </c>
    </row>
    <row r="20" spans="1:11" x14ac:dyDescent="0.3">
      <c r="D20" s="8" t="s">
        <v>206</v>
      </c>
      <c r="E20">
        <v>1</v>
      </c>
      <c r="G20" t="str">
        <v>Illinois</v>
      </c>
      <c r="H20">
        <v>1</v>
      </c>
      <c r="K20" s="8" t="s">
        <v>378</v>
      </c>
    </row>
    <row r="21" spans="1:11" x14ac:dyDescent="0.3">
      <c r="D21" s="8" t="s">
        <v>76</v>
      </c>
      <c r="E21">
        <v>2</v>
      </c>
      <c r="G21" t="str">
        <v>Nevada</v>
      </c>
      <c r="H21">
        <v>2</v>
      </c>
      <c r="K21" s="8" t="s">
        <v>373</v>
      </c>
    </row>
    <row r="22" spans="1:11" x14ac:dyDescent="0.3">
      <c r="D22" s="8" t="s">
        <v>18</v>
      </c>
      <c r="E22">
        <v>4</v>
      </c>
      <c r="G22" t="str">
        <v>Texas</v>
      </c>
      <c r="H22">
        <v>4</v>
      </c>
    </row>
    <row r="23" spans="1:11" x14ac:dyDescent="0.3">
      <c r="D23" s="8" t="s">
        <v>41</v>
      </c>
      <c r="E23">
        <v>1</v>
      </c>
      <c r="G23" t="str">
        <v>Washington</v>
      </c>
      <c r="H2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D9D3A0F9C36C40977E04ED0BC78AD6" ma:contentTypeVersion="18" ma:contentTypeDescription="Create a new document." ma:contentTypeScope="" ma:versionID="ba6c3438462e4854a6cf6c5b9dca5ba6">
  <xsd:schema xmlns:xsd="http://www.w3.org/2001/XMLSchema" xmlns:xs="http://www.w3.org/2001/XMLSchema" xmlns:p="http://schemas.microsoft.com/office/2006/metadata/properties" xmlns:ns2="4860c455-48a8-436c-9759-fec8a92fd336" xmlns:ns3="0e04d0a2-d003-4ca7-8a3e-cafb532ebd22" targetNamespace="http://schemas.microsoft.com/office/2006/metadata/properties" ma:root="true" ma:fieldsID="150251480da4311df82cfb5b59256ac1" ns2:_="" ns3:_="">
    <xsd:import namespace="4860c455-48a8-436c-9759-fec8a92fd336"/>
    <xsd:import namespace="0e04d0a2-d003-4ca7-8a3e-cafb532ebd2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60c455-48a8-436c-9759-fec8a92fd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d8f9d6-9daa-4c01-95ba-9fd911da6693"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04d0a2-d003-4ca7-8a3e-cafb532ebd2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e6d5f93-1db3-4f6f-a8a8-77abb0bce52f}" ma:internalName="TaxCatchAll" ma:showField="CatchAllData" ma:web="0e04d0a2-d003-4ca7-8a3e-cafb532ebd2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860c455-48a8-436c-9759-fec8a92fd336">
      <Terms xmlns="http://schemas.microsoft.com/office/infopath/2007/PartnerControls"/>
    </lcf76f155ced4ddcb4097134ff3c332f>
    <TaxCatchAll xmlns="0e04d0a2-d003-4ca7-8a3e-cafb532ebd22" xsi:nil="true"/>
  </documentManagement>
</p:properties>
</file>

<file path=customXml/itemProps1.xml><?xml version="1.0" encoding="utf-8"?>
<ds:datastoreItem xmlns:ds="http://schemas.openxmlformats.org/officeDocument/2006/customXml" ds:itemID="{B092C416-1206-47A8-A227-021971A6943B}">
  <ds:schemaRefs>
    <ds:schemaRef ds:uri="http://schemas.microsoft.com/sharepoint/v3/contenttype/forms"/>
  </ds:schemaRefs>
</ds:datastoreItem>
</file>

<file path=customXml/itemProps2.xml><?xml version="1.0" encoding="utf-8"?>
<ds:datastoreItem xmlns:ds="http://schemas.openxmlformats.org/officeDocument/2006/customXml" ds:itemID="{47DD52C2-3821-4082-8EC9-7781F880A1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60c455-48a8-436c-9759-fec8a92fd336"/>
    <ds:schemaRef ds:uri="0e04d0a2-d003-4ca7-8a3e-cafb532ebd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F61E9F-99EC-45E4-9E87-213377807238}">
  <ds:schemaRefs>
    <ds:schemaRef ds:uri="http://schemas.microsoft.com/DataMashup"/>
  </ds:schemaRefs>
</ds:datastoreItem>
</file>

<file path=customXml/itemProps4.xml><?xml version="1.0" encoding="utf-8"?>
<ds:datastoreItem xmlns:ds="http://schemas.openxmlformats.org/officeDocument/2006/customXml" ds:itemID="{9FE5EE3D-4FA2-4439-B1ED-96DA59614A6F}">
  <ds:schemaRefs>
    <ds:schemaRef ds:uri="http://purl.org/dc/elements/1.1/"/>
    <ds:schemaRef ds:uri="http://schemas.microsoft.com/office/2006/metadata/properties"/>
    <ds:schemaRef ds:uri="http://purl.org/dc/dcmitype/"/>
    <ds:schemaRef ds:uri="http://schemas.microsoft.com/office/2006/documentManagement/types"/>
    <ds:schemaRef ds:uri="0e04d0a2-d003-4ca7-8a3e-cafb532ebd22"/>
    <ds:schemaRef ds:uri="http://schemas.openxmlformats.org/package/2006/metadata/core-properties"/>
    <ds:schemaRef ds:uri="http://www.w3.org/XML/1998/namespace"/>
    <ds:schemaRef ds:uri="4860c455-48a8-436c-9759-fec8a92fd336"/>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Report</vt:lpstr>
      <vt:lpstr>Employee_Data</vt:lpstr>
      <vt:lpstr>Calculations</vt:lpstr>
      <vt:lpstr>Report!Print_Area</vt:lpstr>
    </vt:vector>
  </TitlesOfParts>
  <Company>XelPlus.com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Barratt</dc:creator>
  <cp:keywords>XelPlus, Pivot Tables</cp:keywords>
  <dc:description>Belongs to XelPlus.com Excel Pivot Tables course</dc:description>
  <cp:lastModifiedBy>Stephen Barratt</cp:lastModifiedBy>
  <cp:lastPrinted>2026-03-10T18:13:21Z</cp:lastPrinted>
  <dcterms:created xsi:type="dcterms:W3CDTF">2024-07-02T06:35:23Z</dcterms:created>
  <dcterms:modified xsi:type="dcterms:W3CDTF">2026-03-10T18:13:31Z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0x0101002BD9D3A0F9C36C40977E04ED0BC78AD6</vt:lpwstr>
  </property>
  <property fmtid="{D5CDD505-2E9C-101B-9397-08002B2CF9AE}" pid="3" name="MediaServiceImageTags">
    <vt:lpwstr/>
  </property>
</Properties>
</file>