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stevi\OneDrive\Desktop\Roadmap to Data Analyst\Portfolio Projects\Staff metrics Dashboard\"/>
    </mc:Choice>
  </mc:AlternateContent>
  <xr:revisionPtr revIDLastSave="0" documentId="13_ncr:1_{D7B97BA1-6258-4838-A62B-467F3601B0DC}" xr6:coauthVersionLast="47" xr6:coauthVersionMax="47" xr10:uidLastSave="{00000000-0000-0000-0000-000000000000}"/>
  <bookViews>
    <workbookView xWindow="-108" yWindow="-108" windowWidth="23256" windowHeight="12456" activeTab="2" xr2:uid="{4C883383-AFC7-4743-811F-F722E5720DD1}"/>
  </bookViews>
  <sheets>
    <sheet name="Report" sheetId="4" r:id="rId1"/>
    <sheet name="Employee_Data" sheetId="2" r:id="rId2"/>
    <sheet name="Calculations" sheetId="3" r:id="rId3"/>
  </sheets>
  <definedNames>
    <definedName name="_xlchart.v5.0" hidden="1">Calculations!$G$18</definedName>
    <definedName name="_xlchart.v5.1" hidden="1">Calculations!$G$19:$G$23</definedName>
    <definedName name="_xlchart.v5.2" hidden="1">Calculations!$H$18</definedName>
    <definedName name="_xlchart.v5.3" hidden="1">Calculations!$H$19:$H$23</definedName>
    <definedName name="FromArray_1">_xlfn.ANCHORARRAY(Calculations!#REF!)</definedName>
    <definedName name="Slicer_Department">#N/A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3" l="1" a="1"/>
  <c r="G18" i="3"/>
  <c r="D16" i="3"/>
  <c r="D14" i="3"/>
  <c r="L3" i="3"/>
  <c r="I3"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<sst xmlns="http://schemas.openxmlformats.org/spreadsheetml/2006/main" count="1671" uniqueCount="389">
  <si>
    <t>Department</t>
  </si>
  <si>
    <t>Cost Centre</t>
  </si>
  <si>
    <t>Employee ID</t>
  </si>
  <si>
    <t>Name</t>
  </si>
  <si>
    <t>Salary</t>
  </si>
  <si>
    <t>Start Date</t>
  </si>
  <si>
    <t>FTE</t>
  </si>
  <si>
    <t>Employment type</t>
  </si>
  <si>
    <t>State</t>
  </si>
  <si>
    <t>XEX</t>
  </si>
  <si>
    <t>Tasha Hall</t>
  </si>
  <si>
    <t>Operations</t>
  </si>
  <si>
    <t>Fixed Term</t>
  </si>
  <si>
    <t>California</t>
  </si>
  <si>
    <t>ARK</t>
  </si>
  <si>
    <t>Jesse Woods</t>
  </si>
  <si>
    <t>Finance</t>
  </si>
  <si>
    <t>Permanent</t>
  </si>
  <si>
    <t>Texas</t>
  </si>
  <si>
    <t>BKI</t>
  </si>
  <si>
    <t>Deanna Johnson</t>
  </si>
  <si>
    <t>Sales</t>
  </si>
  <si>
    <t>QGV</t>
  </si>
  <si>
    <t>George Woodward</t>
  </si>
  <si>
    <t>Marketing</t>
  </si>
  <si>
    <t>VWJ</t>
  </si>
  <si>
    <t>Shawn Tran</t>
  </si>
  <si>
    <t>EZC</t>
  </si>
  <si>
    <t>Kevin Miller</t>
  </si>
  <si>
    <t>Elizabeth Bennett</t>
  </si>
  <si>
    <t>Calvin Walker</t>
  </si>
  <si>
    <t>HR</t>
  </si>
  <si>
    <t>Cynthia White</t>
  </si>
  <si>
    <t>ROG</t>
  </si>
  <si>
    <t>Matthew Callahan</t>
  </si>
  <si>
    <t>Temporary</t>
  </si>
  <si>
    <t>Jennifer Park</t>
  </si>
  <si>
    <t>IT</t>
  </si>
  <si>
    <t>SSV</t>
  </si>
  <si>
    <t>Edwin Butler</t>
  </si>
  <si>
    <t>Leslie Evans</t>
  </si>
  <si>
    <t>Washington</t>
  </si>
  <si>
    <t>David Chen</t>
  </si>
  <si>
    <t>Kendra Bennett</t>
  </si>
  <si>
    <t>Victor Valenzuela</t>
  </si>
  <si>
    <t>Jacob Farley</t>
  </si>
  <si>
    <t>Cody Rodriguez</t>
  </si>
  <si>
    <t>HMN</t>
  </si>
  <si>
    <t>Larry Moore</t>
  </si>
  <si>
    <t>Tanya Lopez</t>
  </si>
  <si>
    <t>Christopher Chung</t>
  </si>
  <si>
    <t>Joseph Kelly</t>
  </si>
  <si>
    <t>Angelica Fischer</t>
  </si>
  <si>
    <t>Ronald Cole</t>
  </si>
  <si>
    <t>Daniel Wilson</t>
  </si>
  <si>
    <t>Elizabeth Lynch</t>
  </si>
  <si>
    <t>Paul Davis</t>
  </si>
  <si>
    <t>Joshua Sullivan</t>
  </si>
  <si>
    <t>New York</t>
  </si>
  <si>
    <t>Devin Barnett</t>
  </si>
  <si>
    <t>Oregon</t>
  </si>
  <si>
    <t>James Zamora</t>
  </si>
  <si>
    <t>Jill Francis</t>
  </si>
  <si>
    <t>Seth Chambers</t>
  </si>
  <si>
    <t>Bradley Jones</t>
  </si>
  <si>
    <t>Joseph Wilson</t>
  </si>
  <si>
    <t>Stephanie Gill</t>
  </si>
  <si>
    <t>Scott Campbell</t>
  </si>
  <si>
    <t>Joseph Clark</t>
  </si>
  <si>
    <t>Tyler Stephens</t>
  </si>
  <si>
    <t>Sue Ramirez</t>
  </si>
  <si>
    <t>Keith Taylor</t>
  </si>
  <si>
    <t>Bryan Morales</t>
  </si>
  <si>
    <t>Justin Evans</t>
  </si>
  <si>
    <t>Natalie Robinson</t>
  </si>
  <si>
    <t>Jonathan Vasquez</t>
  </si>
  <si>
    <t>Nevada</t>
  </si>
  <si>
    <t>Charles Simpson</t>
  </si>
  <si>
    <t>Cindy Kelly</t>
  </si>
  <si>
    <t>Willie Mathis</t>
  </si>
  <si>
    <t>Melissa Miller</t>
  </si>
  <si>
    <t>Tammy Foster</t>
  </si>
  <si>
    <t>Brian Smith</t>
  </si>
  <si>
    <t>Martin Carter</t>
  </si>
  <si>
    <t>Brenda Berry</t>
  </si>
  <si>
    <t>Jeffrey Moran</t>
  </si>
  <si>
    <t>Gary Wong</t>
  </si>
  <si>
    <t>Brittany Fitzpatrick</t>
  </si>
  <si>
    <t>Eugene Clark</t>
  </si>
  <si>
    <t>Gregory Lucero</t>
  </si>
  <si>
    <t>SFB</t>
  </si>
  <si>
    <t>John Blair</t>
  </si>
  <si>
    <t>Jessica Harris</t>
  </si>
  <si>
    <t>Susan Johnson</t>
  </si>
  <si>
    <t>Shelby Cox</t>
  </si>
  <si>
    <t>Megan Hall</t>
  </si>
  <si>
    <t>Brandon Melton</t>
  </si>
  <si>
    <t>Patricia Andrade</t>
  </si>
  <si>
    <t>Anthony Terry</t>
  </si>
  <si>
    <t>Mariah Payne</t>
  </si>
  <si>
    <t>Jessica Gibson</t>
  </si>
  <si>
    <t>John Rogers</t>
  </si>
  <si>
    <t>Anthony Bailey</t>
  </si>
  <si>
    <t>Adam Brown</t>
  </si>
  <si>
    <t>Daniel Franklin</t>
  </si>
  <si>
    <t>Connie Lee</t>
  </si>
  <si>
    <t>Lisa Miller</t>
  </si>
  <si>
    <t>Joshua Barry</t>
  </si>
  <si>
    <t>Joseph Lee</t>
  </si>
  <si>
    <t>Sergio Reed</t>
  </si>
  <si>
    <t>Danielle Daniel</t>
  </si>
  <si>
    <t>Jose Cruz</t>
  </si>
  <si>
    <t>David Torres</t>
  </si>
  <si>
    <t>Alexandra Simpson</t>
  </si>
  <si>
    <t>Thomas Jenkins</t>
  </si>
  <si>
    <t>Jeremiah Miller II</t>
  </si>
  <si>
    <t>Brittany Henson</t>
  </si>
  <si>
    <t>Lonnie Meyers</t>
  </si>
  <si>
    <t>Stacie Foster</t>
  </si>
  <si>
    <t>Danielle Robinson</t>
  </si>
  <si>
    <t>Diana Bell</t>
  </si>
  <si>
    <t>Ashley Lam</t>
  </si>
  <si>
    <t>Michelle Waters</t>
  </si>
  <si>
    <t>Julia Walters</t>
  </si>
  <si>
    <t>Alan Mendez</t>
  </si>
  <si>
    <t>Carrie Perry</t>
  </si>
  <si>
    <t>Shawn Osborn</t>
  </si>
  <si>
    <t>Joseph Patterson</t>
  </si>
  <si>
    <t>James Nelson</t>
  </si>
  <si>
    <t>Krystal Hall</t>
  </si>
  <si>
    <t>Kimberly Campbell</t>
  </si>
  <si>
    <t>Stephanie Brown</t>
  </si>
  <si>
    <t>Garrett Brooks</t>
  </si>
  <si>
    <t>Mr. Chad Smith</t>
  </si>
  <si>
    <t>Holly Walters</t>
  </si>
  <si>
    <t>Sherri Moore</t>
  </si>
  <si>
    <t>William Taylor</t>
  </si>
  <si>
    <t>Thomas Crawford</t>
  </si>
  <si>
    <t>Tracy Young</t>
  </si>
  <si>
    <t>David Cruz</t>
  </si>
  <si>
    <t>Brandi Jimenez</t>
  </si>
  <si>
    <t>Lisa Johnson</t>
  </si>
  <si>
    <t>Katherine Parker</t>
  </si>
  <si>
    <t>Kristi Martin</t>
  </si>
  <si>
    <t>Wisconsin</t>
  </si>
  <si>
    <t>Rhonda Mclaughlin</t>
  </si>
  <si>
    <t>Michele Miller</t>
  </si>
  <si>
    <t>James Lee</t>
  </si>
  <si>
    <t>Eddie Acevedo</t>
  </si>
  <si>
    <t>Ethan Burgess</t>
  </si>
  <si>
    <t>Scott Barnett</t>
  </si>
  <si>
    <t>Courtney Cooper</t>
  </si>
  <si>
    <t>Alan Berry</t>
  </si>
  <si>
    <t>Mark Gomez</t>
  </si>
  <si>
    <t>Antonio Allen Jr.</t>
  </si>
  <si>
    <t>Erin Nicholson</t>
  </si>
  <si>
    <t>Matthew Taylor</t>
  </si>
  <si>
    <t>Joann Thomas</t>
  </si>
  <si>
    <t>Matthew Chandler</t>
  </si>
  <si>
    <t>Jennifer Smith</t>
  </si>
  <si>
    <t>Kimberly Ballard</t>
  </si>
  <si>
    <t>Olivia Cunningham</t>
  </si>
  <si>
    <t>Troy Jackson</t>
  </si>
  <si>
    <t>Lisa Stanley</t>
  </si>
  <si>
    <t>Ronald Thompson</t>
  </si>
  <si>
    <t>Tina Kemp</t>
  </si>
  <si>
    <t>Sara Hoffman</t>
  </si>
  <si>
    <t>Jessica Hancock</t>
  </si>
  <si>
    <t>Mark Mckinney</t>
  </si>
  <si>
    <t>Amanda Peterson</t>
  </si>
  <si>
    <t>Jamie Garrett</t>
  </si>
  <si>
    <t>Kathleen Howard</t>
  </si>
  <si>
    <t>Judith Romero</t>
  </si>
  <si>
    <t>Paul Morgan</t>
  </si>
  <si>
    <t>Terry Smith</t>
  </si>
  <si>
    <t>Donna Harrison</t>
  </si>
  <si>
    <t>Joseph Arnold</t>
  </si>
  <si>
    <t>Amanda Foster</t>
  </si>
  <si>
    <t>Gregory Williams</t>
  </si>
  <si>
    <t>Zachary King</t>
  </si>
  <si>
    <t>Michele Hickman</t>
  </si>
  <si>
    <t>Pamela Farmer</t>
  </si>
  <si>
    <t>Ruben King</t>
  </si>
  <si>
    <t>William Ballard</t>
  </si>
  <si>
    <t>Dana Craig</t>
  </si>
  <si>
    <t>Sheri Martin</t>
  </si>
  <si>
    <t>Brittany Mathis</t>
  </si>
  <si>
    <t>Lauren Williams</t>
  </si>
  <si>
    <t>Gregory Carter</t>
  </si>
  <si>
    <t>Johnny Powell</t>
  </si>
  <si>
    <t>Christopher Kramer</t>
  </si>
  <si>
    <t>Jessica Peterson</t>
  </si>
  <si>
    <t>Nathan Browning</t>
  </si>
  <si>
    <t>Mary Scott</t>
  </si>
  <si>
    <t>Andrea Boyle</t>
  </si>
  <si>
    <t>Ronald Moreno</t>
  </si>
  <si>
    <t>Mark Riley</t>
  </si>
  <si>
    <t>Lynn Daniels</t>
  </si>
  <si>
    <t>Jeffrey Collins</t>
  </si>
  <si>
    <t>Richard Weiss</t>
  </si>
  <si>
    <t>David Rose</t>
  </si>
  <si>
    <t>Gordon Thornton</t>
  </si>
  <si>
    <t>Charles Smith</t>
  </si>
  <si>
    <t>Rachel Miles</t>
  </si>
  <si>
    <t>Janet Marshall</t>
  </si>
  <si>
    <t>Thomas Fields</t>
  </si>
  <si>
    <t>Illinois</t>
  </si>
  <si>
    <t>Paige Yoder</t>
  </si>
  <si>
    <t>William Moore</t>
  </si>
  <si>
    <t>Henry Graves</t>
  </si>
  <si>
    <t>Nicolas Duncan</t>
  </si>
  <si>
    <t>Cody Chang</t>
  </si>
  <si>
    <t>Kenneth Young</t>
  </si>
  <si>
    <t>Sharon Jacobson</t>
  </si>
  <si>
    <t>Ashlee Lopez</t>
  </si>
  <si>
    <t>Austin Simmons</t>
  </si>
  <si>
    <t>Dillon Kim</t>
  </si>
  <si>
    <t>Heather Murphy</t>
  </si>
  <si>
    <t>Johnathan Farmer</t>
  </si>
  <si>
    <t>James Graham</t>
  </si>
  <si>
    <t>Megan Terry</t>
  </si>
  <si>
    <t>Lauren Gomez</t>
  </si>
  <si>
    <t>Kristy Ramirez</t>
  </si>
  <si>
    <t>Jennifer Mccall</t>
  </si>
  <si>
    <t>Brad Hancock</t>
  </si>
  <si>
    <t>Benjamin Love</t>
  </si>
  <si>
    <t>Kaitlin Edwards</t>
  </si>
  <si>
    <t>Tiffany Johnson</t>
  </si>
  <si>
    <t>Calvin Haney</t>
  </si>
  <si>
    <t>Jennifer Thomas</t>
  </si>
  <si>
    <t>Sean Dixon</t>
  </si>
  <si>
    <t>Steven Lozano</t>
  </si>
  <si>
    <t>Michelle Cummings</t>
  </si>
  <si>
    <t>Kelly Colon</t>
  </si>
  <si>
    <t>Melissa Hughes</t>
  </si>
  <si>
    <t>Robert Hess</t>
  </si>
  <si>
    <t>Christopher Baker</t>
  </si>
  <si>
    <t>Erin Erickson</t>
  </si>
  <si>
    <t>Kelly Bryant</t>
  </si>
  <si>
    <t>Nicole Cole</t>
  </si>
  <si>
    <t>Mark Thompson</t>
  </si>
  <si>
    <t>Stephanie Stewart</t>
  </si>
  <si>
    <t>Cheryl Gibbs</t>
  </si>
  <si>
    <t>Robin Boyd</t>
  </si>
  <si>
    <t>Susan Taylor</t>
  </si>
  <si>
    <t>Amy Miller</t>
  </si>
  <si>
    <t>April Hampton</t>
  </si>
  <si>
    <t>Lawrence Hudson</t>
  </si>
  <si>
    <t>James Cox</t>
  </si>
  <si>
    <t>Mallory Taylor</t>
  </si>
  <si>
    <t>Catherine Martinez</t>
  </si>
  <si>
    <t>Lawrence Williams</t>
  </si>
  <si>
    <t>Melissa Robles</t>
  </si>
  <si>
    <t>Lindsay Bauer</t>
  </si>
  <si>
    <t>Thomas Mcintosh</t>
  </si>
  <si>
    <t>Jeremiah Munoz</t>
  </si>
  <si>
    <t>Dawn Collins</t>
  </si>
  <si>
    <t>Jody White</t>
  </si>
  <si>
    <t>Dennis Avery</t>
  </si>
  <si>
    <t>Brent Johnson</t>
  </si>
  <si>
    <t>Jared Vaughn</t>
  </si>
  <si>
    <t>Erica Gibbs</t>
  </si>
  <si>
    <t>Melissa Alvarez</t>
  </si>
  <si>
    <t>Kimberly Morales</t>
  </si>
  <si>
    <t>Tammy Johnson</t>
  </si>
  <si>
    <t>Sara Miller</t>
  </si>
  <si>
    <t>Brett Donaldson</t>
  </si>
  <si>
    <t>Jose Ballard</t>
  </si>
  <si>
    <t>April Morgan</t>
  </si>
  <si>
    <t>Melissa Martin</t>
  </si>
  <si>
    <t>Caitlin Frazier</t>
  </si>
  <si>
    <t>Taylor Murphy</t>
  </si>
  <si>
    <t>Tyler Garrett</t>
  </si>
  <si>
    <t>Darrell Reid</t>
  </si>
  <si>
    <t>Vincent Bell</t>
  </si>
  <si>
    <t>Jason Cox</t>
  </si>
  <si>
    <t>Jasmine Townsend</t>
  </si>
  <si>
    <t>Kevin Mcdaniel</t>
  </si>
  <si>
    <t>Carolyn Hernandez</t>
  </si>
  <si>
    <t>Frank Smith</t>
  </si>
  <si>
    <t>Timothy Berry</t>
  </si>
  <si>
    <t>Christian Buchanan</t>
  </si>
  <si>
    <t>Jennifer Bradley</t>
  </si>
  <si>
    <t>Michelle Nielsen</t>
  </si>
  <si>
    <t>Daniel Morales</t>
  </si>
  <si>
    <t>Keith Bell</t>
  </si>
  <si>
    <t>Steven Sanchez</t>
  </si>
  <si>
    <t>Thomas Allen</t>
  </si>
  <si>
    <t>Benjamin King</t>
  </si>
  <si>
    <t>Joseph Daniels</t>
  </si>
  <si>
    <t>Penny Mcdowell</t>
  </si>
  <si>
    <t>Missouri</t>
  </si>
  <si>
    <t>Levi Dillon</t>
  </si>
  <si>
    <t>Mark Ferguson</t>
  </si>
  <si>
    <t>Brianna Long</t>
  </si>
  <si>
    <t>Monica Bray</t>
  </si>
  <si>
    <t>Brian Murray</t>
  </si>
  <si>
    <t>Colorado</t>
  </si>
  <si>
    <t>Christopher Wells</t>
  </si>
  <si>
    <t>Thomas Hancock</t>
  </si>
  <si>
    <t>Ashley Richardson</t>
  </si>
  <si>
    <t>Hunter Kennedy</t>
  </si>
  <si>
    <t>Amy Wiley</t>
  </si>
  <si>
    <t>Nathaniel Nguyen</t>
  </si>
  <si>
    <t>Andrew Arnold</t>
  </si>
  <si>
    <t>Jason Brooks</t>
  </si>
  <si>
    <t>Chad Rodriguez</t>
  </si>
  <si>
    <t>Andre Ray</t>
  </si>
  <si>
    <t>Martin Mann</t>
  </si>
  <si>
    <t>Jeffery Barber</t>
  </si>
  <si>
    <t>Christian Martin</t>
  </si>
  <si>
    <t>Chad Snyder</t>
  </si>
  <si>
    <t>Wyoming</t>
  </si>
  <si>
    <t>Lisa Roberts</t>
  </si>
  <si>
    <t>Melinda Lang</t>
  </si>
  <si>
    <t>Sara Ayala</t>
  </si>
  <si>
    <t>Christopher Burton</t>
  </si>
  <si>
    <t>Kim Thomas</t>
  </si>
  <si>
    <t>Patrick Peters</t>
  </si>
  <si>
    <t>Thomas Gray</t>
  </si>
  <si>
    <t>John Torres</t>
  </si>
  <si>
    <t>Jared Davis</t>
  </si>
  <si>
    <t>Brittany Silva</t>
  </si>
  <si>
    <t>Veronica Keith</t>
  </si>
  <si>
    <t>Richard Wolfe</t>
  </si>
  <si>
    <t>Lindsey Palmer</t>
  </si>
  <si>
    <t>Nicholas Jackson</t>
  </si>
  <si>
    <t>Andrew Wilson</t>
  </si>
  <si>
    <t>Nathan Flores</t>
  </si>
  <si>
    <t>Jackie Horton</t>
  </si>
  <si>
    <t>Robin Perez</t>
  </si>
  <si>
    <t>Juan Kline</t>
  </si>
  <si>
    <t>Katie Blackwell</t>
  </si>
  <si>
    <t>Mason Jackson</t>
  </si>
  <si>
    <t>Jennifer Guerrero</t>
  </si>
  <si>
    <t>Deborah Matthews</t>
  </si>
  <si>
    <t>Carolyn Alexander</t>
  </si>
  <si>
    <t>James Lang</t>
  </si>
  <si>
    <t>John Dove</t>
  </si>
  <si>
    <t>Jane Smithers</t>
  </si>
  <si>
    <t>Alice Johnson</t>
  </si>
  <si>
    <t>Bob Brown</t>
  </si>
  <si>
    <t>Charlie Davis</t>
  </si>
  <si>
    <t>Dana Evans</t>
  </si>
  <si>
    <t>Eve Wilson</t>
  </si>
  <si>
    <t>Frank Harris</t>
  </si>
  <si>
    <t>Grace Hall</t>
  </si>
  <si>
    <t>Harry Clark</t>
  </si>
  <si>
    <t>Irene Lewis</t>
  </si>
  <si>
    <t>Jack Martinez</t>
  </si>
  <si>
    <t>Karen White</t>
  </si>
  <si>
    <t>Larry Young</t>
  </si>
  <si>
    <t>Mary King</t>
  </si>
  <si>
    <t>Nick Allen</t>
  </si>
  <si>
    <t>Olivia Scott</t>
  </si>
  <si>
    <t>Paul Turner</t>
  </si>
  <si>
    <t>Quinn Parker</t>
  </si>
  <si>
    <t>Rita Cooper</t>
  </si>
  <si>
    <t>Calculations</t>
  </si>
  <si>
    <t>Requirements</t>
  </si>
  <si>
    <t>Total Headcount</t>
  </si>
  <si>
    <t>Total FTE</t>
  </si>
  <si>
    <t>Average Salary</t>
  </si>
  <si>
    <t>Top Earner Salary</t>
  </si>
  <si>
    <t>Headcount by department</t>
  </si>
  <si>
    <t>Headcount by Employment type</t>
  </si>
  <si>
    <t>Top 10 earners by department</t>
  </si>
  <si>
    <t>Employees by department and location</t>
  </si>
  <si>
    <t>Header Merics</t>
  </si>
  <si>
    <t>Headcount</t>
  </si>
  <si>
    <t xml:space="preserve">FTE </t>
  </si>
  <si>
    <t>Max. of Salary</t>
  </si>
  <si>
    <t>Row Labels</t>
  </si>
  <si>
    <t>Grand Total</t>
  </si>
  <si>
    <t>💰Finance</t>
  </si>
  <si>
    <t>🧑‍🦲HR</t>
  </si>
  <si>
    <t>💻 IT</t>
  </si>
  <si>
    <t>📈 Marketing</t>
  </si>
  <si>
    <t>⚙️ Operations</t>
  </si>
  <si>
    <t>💼 Sales</t>
  </si>
  <si>
    <t>HEADCOUNT BY DEPARTMENT</t>
  </si>
  <si>
    <t>HEADCOUNT BY EMPLOYEE TYPE</t>
  </si>
  <si>
    <t xml:space="preserve">Salary </t>
  </si>
  <si>
    <t>Top 10</t>
  </si>
  <si>
    <t>TOP 10 EARNERS</t>
  </si>
  <si>
    <t>HEADCOUNT BY LOCATION</t>
  </si>
  <si>
    <t>For slicer</t>
  </si>
  <si>
    <t>Stephen</t>
  </si>
  <si>
    <t>Florida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</si>
</sst>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quot;$&quot;* #,##0_-;\-&quot;$&quot;* #,##0_-;_-&quot;$&quot;* &quot;-&quot;??_-;_-@_-"/>
  </numFmts>
  <fonts count="4" x14ac:knownFonts="1">
    <font>
      <sz val="12"/>
      <color theme="1"/>
      <name val="Aptos Narrow"/>
      <family val="2"/>
      <scheme val="minor"/>
    </font>
    <font>
      <b/>
      <sz val="12"/>
      <color theme="1"/>
      <name val="Aptos Narrow"/>
      <family val="2"/>
      <scheme val="minor"/>
    </font>
    <font>
      <sz val="11"/>
      <color theme="1"/>
      <name val="Aptos Narrow"/>
      <family val="2"/>
      <scheme val="minor"/>
    </font>
    <font>
      <sz val="12"/>
      <color theme="1"/>
      <name val="Wingdings 2"/>
      <family val="1"/>
      <charset val="2"/>
    </font>
  </fonts>
  <fills count="3">
    <fill>
      <patternFill patternType="none"/>
    </fill>
    <fill>
      <patternFill patternType="gray125"/>
    </fill>
    <fill>
      <patternFill patternType="solid">
        <fgColor theme="0"/>
        <bgColor indexed="64"/>
      </patternFill>
    </fill>
  </fills>
  <borders count="3">
    <border>
      <left/>
      <right/>
      <top/>
      <bottom/>
      <diagonal/>
    </border>
    <border>
      <left/>
      <right/>
      <top/>
      <bottom style="thin">
        <color indexed="64"/>
      </bottom>
      <diagonal/>
    </border>
    <border>
      <left style="thick">
        <color theme="0"/>
      </left>
      <right style="thick">
        <color theme="0"/>
      </right>
      <top style="thick">
        <color theme="0"/>
      </top>
      <bottom style="thick">
        <color theme="0"/>
      </bottom>
      <diagonal/>
    </border>
  </borders>
  <cellStyleXfs count="2">
    <xf numFmtId="0" fontId="0" fillId="0" borderId="0"/>
    <xf numFmtId="0" fontId="2" fillId="0" borderId="0"/>
  </cellStyleXfs>
  <cellXfs count="11">
    <xf numFmtId="0" fontId="0" fillId="0" borderId="0" xfId="0"/>
    <xf numFmtId="14" fontId="0" fillId="0" borderId="0" xfId="0" applyNumberFormat="1"/>
    <xf numFmtId="0" fontId="1" fillId="0" borderId="1" xfId="0" applyFont="1" applyBorder="1"/>
    <xf numFmtId="0" fontId="0" fillId="0" borderId="1" xfId="0" applyBorder="1"/>
    <xf numFmtId="0" fontId="3" fillId="0" borderId="0" xfId="0" applyFont="1"/>
    <xf numFmtId="0" fontId="2" fillId="0" borderId="0" xfId="0" applyFont="1"/>
    <xf numFmtId="164" fontId="0" fillId="0" borderId="0" xfId="0" applyNumberFormat="1"/>
    <xf numFmtId="0" fontId="0" fillId="0" borderId="0" xfId="0" pivotButton="1"/>
    <xf numFmtId="0" fontId="0" fillId="0" borderId="0" xfId="0" applyAlignment="1">
      <alignment horizontal="left"/>
    </xf>
    <xf numFmtId="0" fontId="1" fillId="0" borderId="0" xfId="0" applyFont="1" applyBorder="1"/>
    <xf numFmtId="0" fontId="0" fillId="2" borderId="2" xfId="0" applyFill="1" applyBorder="1"/>
  </cellXfs>
  <cellStyles count="2">
    <cellStyle name="Normal" xfId="0" builtinId="0"/>
    <cellStyle name="Normal 2" xfId="1" xr:uid="{7E9130DE-1117-4F04-88AE-D694B67091B9}"/>
  </cellStyles>
  <dxfs count="33">
    <dxf>
      <numFmt numFmtId="164" formatCode="_-&quot;$&quot;* #,##0_-;\-&quot;$&quot;* #,##0_-;_-&quot;$&quot;* &quot;-&quot;??_-;_-@_-"/>
    </dxf>
    <dxf>
      <numFmt numFmtId="165" formatCode="m/d/yyyy"/>
    </dxf>
    <dxf>
      <border>
        <bottom style="thin">
          <color indexed="64"/>
        </bottom>
      </border>
    </dxf>
    <dxf>
      <font>
        <b/>
      </font>
    </dxf>
    <dxf>
      <numFmt numFmtId="164" formatCode="_-&quot;$&quot;* #,##0_-;\-&quot;$&quot;* #,##0_-;_-&quot;$&quot;* &quot;-&quot;??_-;_-@_-"/>
    </dxf>
    <dxf>
      <border>
        <top style="thin">
          <color theme="1" tint="0.499984740745262"/>
        </top>
        <bottom style="thin">
          <color theme="1" tint="0.499984740745262"/>
        </bottom>
      </border>
    </dxf>
    <dxf>
      <border>
        <top style="thin">
          <color theme="1" tint="0.499984740745262"/>
        </top>
        <bottom style="thin">
          <color theme="1" tint="0.499984740745262"/>
        </bottom>
      </border>
    </dxf>
    <dxf>
      <font>
        <b/>
        <i val="0"/>
        <color theme="1" tint="0.34998626667073579"/>
      </font>
      <border>
        <top style="thin">
          <color theme="1" tint="0.499984740745262"/>
        </top>
      </border>
    </dxf>
    <dxf>
      <font>
        <b/>
        <i val="0"/>
        <color theme="1" tint="0.24994659260841701"/>
      </font>
      <border>
        <top style="thin">
          <color theme="1" tint="0.34998626667073579"/>
        </top>
      </border>
    </dxf>
    <dxf>
      <font>
        <b val="0"/>
        <i val="0"/>
        <color theme="0"/>
      </font>
    </dxf>
    <dxf>
      <border diagonalUp="0" diagonalDown="0">
        <left/>
        <right/>
        <top/>
        <bottom/>
        <vertical/>
        <horizontal/>
      </border>
    </dxf>
    <dxf>
      <font>
        <b/>
        <i val="0"/>
        <color theme="1" tint="0.34998626667073579"/>
      </font>
      <border>
        <bottom style="thin">
          <color theme="1" tint="0.499984740745262"/>
        </bottom>
      </border>
    </dxf>
    <dxf>
      <font>
        <b/>
        <i val="0"/>
        <color theme="1" tint="0.24994659260841701"/>
      </font>
      <border>
        <bottom style="thin">
          <color theme="1" tint="0.34998626667073579"/>
        </bottom>
      </border>
    </dxf>
    <dxf>
      <font>
        <b/>
        <i val="0"/>
        <color theme="1"/>
      </font>
      <border>
        <top style="thin">
          <color theme="2" tint="-9.9948118533890809E-2"/>
        </top>
        <bottom style="thin">
          <color theme="1" tint="0.24994659260841701"/>
        </bottom>
      </border>
    </dxf>
    <dxf>
      <border>
        <bottom style="thin">
          <color auto="1"/>
        </bottom>
      </border>
    </dxf>
    <dxf>
      <font>
        <b/>
        <color theme="1"/>
      </font>
      <fill>
        <patternFill patternType="solid">
          <fgColor theme="0"/>
          <bgColor theme="0"/>
        </patternFill>
      </fill>
      <border>
        <top style="thin">
          <color theme="1" tint="0.499984740745262"/>
        </top>
        <bottom style="thick">
          <color theme="1" tint="0.24994659260841701"/>
        </bottom>
      </border>
    </dxf>
    <dxf>
      <font>
        <b/>
        <color theme="1"/>
      </font>
      <border>
        <top/>
        <bottom style="thin">
          <color theme="1" tint="0.24994659260841701"/>
        </bottom>
      </border>
    </dxf>
    <dxf>
      <font>
        <u val="none"/>
        <color theme="1" tint="0.14996795556505021"/>
      </font>
      <border diagonalUp="1">
        <left/>
        <right/>
        <top/>
        <bottom/>
        <diagonal style="thin">
          <color theme="2"/>
        </diagonal>
        <vertical style="double">
          <color theme="0"/>
        </vertical>
        <horizontal style="thin">
          <color theme="0" tint="-0.14996795556505021"/>
        </horizontal>
      </border>
    </dxf>
    <dxf>
      <border>
        <top style="thin">
          <color theme="1" tint="0.499984740745262"/>
        </top>
        <bottom style="thin">
          <color theme="1" tint="0.499984740745262"/>
        </bottom>
      </border>
    </dxf>
    <dxf>
      <border>
        <top style="thin">
          <color theme="1" tint="0.499984740745262"/>
        </top>
        <bottom style="thin">
          <color theme="1" tint="0.499984740745262"/>
        </bottom>
      </border>
    </dxf>
    <dxf>
      <font>
        <b/>
        <i val="0"/>
        <color theme="1" tint="0.34998626667073579"/>
      </font>
      <border>
        <top style="thin">
          <color theme="1" tint="0.499984740745262"/>
        </top>
      </border>
    </dxf>
    <dxf>
      <font>
        <b/>
        <i val="0"/>
        <color theme="1" tint="0.24994659260841701"/>
      </font>
      <border>
        <top style="thin">
          <color theme="1" tint="0.34998626667073579"/>
        </top>
      </border>
    </dxf>
    <dxf>
      <font>
        <b/>
        <i val="0"/>
        <color theme="1"/>
      </font>
    </dxf>
    <dxf>
      <border diagonalUp="0" diagonalDown="0">
        <left/>
        <right/>
        <top/>
        <bottom/>
        <vertical/>
        <horizontal/>
      </border>
    </dxf>
    <dxf>
      <font>
        <b/>
        <i val="0"/>
        <color theme="1" tint="0.34998626667073579"/>
      </font>
      <border>
        <bottom style="thin">
          <color theme="1" tint="0.499984740745262"/>
        </bottom>
      </border>
    </dxf>
    <dxf>
      <font>
        <b/>
        <i val="0"/>
        <color theme="1" tint="0.24994659260841701"/>
      </font>
      <border>
        <bottom style="thin">
          <color theme="1" tint="0.34998626667073579"/>
        </bottom>
      </border>
    </dxf>
    <dxf>
      <font>
        <b/>
        <i val="0"/>
        <color theme="1"/>
      </font>
      <border>
        <top style="thin">
          <color theme="2" tint="-9.9948118533890809E-2"/>
        </top>
        <bottom style="thin">
          <color theme="1" tint="0.24994659260841701"/>
        </bottom>
      </border>
    </dxf>
    <dxf>
      <border>
        <bottom style="thin">
          <color auto="1"/>
        </bottom>
      </border>
    </dxf>
    <dxf>
      <font>
        <b/>
        <color theme="1"/>
      </font>
      <fill>
        <patternFill patternType="solid">
          <fgColor theme="0"/>
          <bgColor theme="0"/>
        </patternFill>
      </fill>
      <border>
        <top style="thin">
          <color theme="1" tint="0.499984740745262"/>
        </top>
        <bottom style="thick">
          <color theme="1" tint="0.24994659260841701"/>
        </bottom>
      </border>
    </dxf>
    <dxf>
      <font>
        <b/>
        <color theme="1"/>
      </font>
      <border>
        <top/>
        <bottom style="thin">
          <color theme="1" tint="0.24994659260841701"/>
        </bottom>
      </border>
    </dxf>
    <dxf>
      <font>
        <u val="none"/>
        <color theme="1" tint="0.14996795556505021"/>
      </font>
      <border diagonalUp="1">
        <left/>
        <right/>
        <top/>
        <bottom/>
        <diagonal style="thin">
          <color theme="2"/>
        </diagonal>
        <vertical style="double">
          <color theme="0"/>
        </vertical>
        <horizontal style="thin">
          <color theme="0" tint="-0.14996795556505021"/>
        </horizontal>
      </border>
    </dxf>
    <dxf>
      <font>
        <b/>
        <color theme="1"/>
      </font>
      <border>
        <bottom style="thin">
          <color theme="4"/>
        </bottom>
        <vertical/>
        <horizontal/>
      </border>
    </dxf>
    <dxf>
      <font>
        <color theme="1"/>
      </font>
      <border diagonalUp="0" diagonalDown="0">
        <left/>
        <right/>
        <top/>
        <bottom/>
        <vertical/>
        <horizontal/>
      </border>
    </dxf>
  </dxfs>
  <tableStyles count="3" defaultTableStyle="TableStyleMedium2" defaultPivotStyle="PivotStyleLight16">
    <tableStyle name="HR Slicer" pivot="0" table="0" count="10" xr9:uid="{8AB423FE-9418-483A-94C7-A725D8181AC5}">
      <tableStyleElement type="wholeTable" dxfId="32"/>
      <tableStyleElement type="headerRow" dxfId="31"/>
    </tableStyle>
    <tableStyle name="XelPlus Neat" table="0" count="13" xr9:uid="{8972680E-830F-4779-9528-EB4A61858158}">
      <tableStyleElement type="wholeTable" dxfId="30"/>
      <tableStyleElement type="headerRow" dxfId="29"/>
      <tableStyleElement type="totalRow" dxfId="28"/>
      <tableStyleElement type="firstHeaderCell" dxfId="27"/>
      <tableStyleElement type="firstSubtotalRow" dxfId="26"/>
      <tableStyleElement type="secondSubtotalRow" dxfId="25"/>
      <tableStyleElement type="thirdSubtotalRow" dxfId="24"/>
      <tableStyleElement type="blankRow" dxfId="23"/>
      <tableStyleElement type="firstRowSubheading" dxfId="22"/>
      <tableStyleElement type="secondRowSubheading" dxfId="21"/>
      <tableStyleElement type="thirdRowSubheading" dxfId="20"/>
      <tableStyleElement type="pageFieldLabels" dxfId="19"/>
      <tableStyleElement type="pageFieldValues" dxfId="18"/>
    </tableStyle>
    <tableStyle name="XelPlus Neat Earner" table="0" count="13" xr9:uid="{D568ED86-F350-47C3-86C4-474AE0C223FB}">
      <tableStyleElement type="wholeTable" dxfId="17"/>
      <tableStyleElement type="headerRow" dxfId="16"/>
      <tableStyleElement type="totalRow" dxfId="15"/>
      <tableStyleElement type="firstHeaderCell" dxfId="14"/>
      <tableStyleElement type="firstSubtotalRow" dxfId="13"/>
      <tableStyleElement type="secondSubtotalRow" dxfId="12"/>
      <tableStyleElement type="thirdSubtotalRow" dxfId="11"/>
      <tableStyleElement type="blankRow" dxfId="10"/>
      <tableStyleElement type="firstRowSubheading" dxfId="9"/>
      <tableStyleElement type="secondRowSubheading" dxfId="8"/>
      <tableStyleElement type="thirdRowSubheading" dxfId="7"/>
      <tableStyleElement type="pageFieldLabels" dxfId="6"/>
      <tableStyleElement type="pageFieldValues" dxfId="5"/>
    </tableStyle>
  </tableStyles>
  <colors>
    <mruColors>
      <color rgb="FFF19100"/>
      <color rgb="FFFACA82"/>
      <color rgb="FF8DDAB4"/>
      <color rgb="FFEEFBF5"/>
      <color rgb="FF5C8E75"/>
      <color rgb="FF156082"/>
      <color rgb="FFF5F5F5"/>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79992065187536243"/>
              <bgColor theme="6" tint="0.399945066682943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HR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eetMetadata" Target="metadata.xml"/><Relationship Id="rId14"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for Staff Metrics.xlsx]Calculations!PivotTable26</c:name>
    <c:fmtId val="4"/>
  </c:pivotSource>
  <c:chart>
    <c:autoTitleDeleted val="1"/>
    <c:pivotFmts>
      <c:pivotFmt>
        <c:idx val="0"/>
        <c:spPr>
          <a:solidFill>
            <a:srgbClr val="F19100"/>
          </a:solidFill>
          <a:ln>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19100"/>
          </a:solidFill>
          <a:ln>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19100"/>
          </a:solidFill>
          <a:ln>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540113735783028"/>
          <c:y val="5.0925925925925923E-2"/>
          <c:w val="0.73404330708661425"/>
          <c:h val="0.89814814814814814"/>
        </c:manualLayout>
      </c:layout>
      <c:barChart>
        <c:barDir val="bar"/>
        <c:grouping val="clustered"/>
        <c:varyColors val="0"/>
        <c:ser>
          <c:idx val="0"/>
          <c:order val="0"/>
          <c:tx>
            <c:strRef>
              <c:f>Calculations!$J$5</c:f>
              <c:strCache>
                <c:ptCount val="1"/>
                <c:pt idx="0">
                  <c:v>Total</c:v>
                </c:pt>
              </c:strCache>
            </c:strRef>
          </c:tx>
          <c:spPr>
            <a:solidFill>
              <a:srgbClr val="F19100"/>
            </a:solidFill>
            <a:ln>
              <a:solidFill>
                <a:schemeClr val="accent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Calculations!$I$6:$I$12</c:f>
              <c:strCache>
                <c:ptCount val="6"/>
                <c:pt idx="0">
                  <c:v>💰Finance</c:v>
                </c:pt>
                <c:pt idx="1">
                  <c:v>🧑‍🦲HR</c:v>
                </c:pt>
                <c:pt idx="2">
                  <c:v>💻 IT</c:v>
                </c:pt>
                <c:pt idx="3">
                  <c:v>📈 Marketing</c:v>
                </c:pt>
                <c:pt idx="4">
                  <c:v>⚙️ Operations</c:v>
                </c:pt>
                <c:pt idx="5">
                  <c:v>💼 Sales</c:v>
                </c:pt>
              </c:strCache>
            </c:strRef>
          </c:cat>
          <c:val>
            <c:numRef>
              <c:f>Calculations!$J$6:$J$12</c:f>
              <c:numCache>
                <c:formatCode>General</c:formatCode>
                <c:ptCount val="6"/>
                <c:pt idx="0">
                  <c:v>48</c:v>
                </c:pt>
                <c:pt idx="1">
                  <c:v>62</c:v>
                </c:pt>
                <c:pt idx="2">
                  <c:v>56</c:v>
                </c:pt>
                <c:pt idx="3">
                  <c:v>51</c:v>
                </c:pt>
                <c:pt idx="4">
                  <c:v>50</c:v>
                </c:pt>
                <c:pt idx="5">
                  <c:v>54</c:v>
                </c:pt>
              </c:numCache>
            </c:numRef>
          </c:val>
          <c:extLst>
            <c:ext xmlns:c16="http://schemas.microsoft.com/office/drawing/2014/chart" uri="{C3380CC4-5D6E-409C-BE32-E72D297353CC}">
              <c16:uniqueId val="{00000000-7068-49E6-930F-60BACF4C4F43}"/>
            </c:ext>
          </c:extLst>
        </c:ser>
        <c:dLbls>
          <c:showLegendKey val="0"/>
          <c:showVal val="0"/>
          <c:showCatName val="0"/>
          <c:showSerName val="0"/>
          <c:showPercent val="0"/>
          <c:showBubbleSize val="0"/>
        </c:dLbls>
        <c:gapWidth val="60"/>
        <c:axId val="1513550143"/>
        <c:axId val="1513557343"/>
      </c:barChart>
      <c:catAx>
        <c:axId val="1513550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513557343"/>
        <c:crosses val="autoZero"/>
        <c:auto val="1"/>
        <c:lblAlgn val="ctr"/>
        <c:lblOffset val="100"/>
        <c:noMultiLvlLbl val="0"/>
      </c:catAx>
      <c:valAx>
        <c:axId val="1513557343"/>
        <c:scaling>
          <c:orientation val="minMax"/>
        </c:scaling>
        <c:delete val="1"/>
        <c:axPos val="b"/>
        <c:numFmt formatCode="General" sourceLinked="1"/>
        <c:majorTickMark val="none"/>
        <c:minorTickMark val="none"/>
        <c:tickLblPos val="nextTo"/>
        <c:crossAx val="1513550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for Staff Metrics.xlsx]Calculations!PivotTable27</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3">
              <a:lumMod val="75000"/>
            </a:schemeClr>
          </a:solidFill>
          <a:ln w="19050">
            <a:solidFill>
              <a:schemeClr val="lt1"/>
            </a:solidFill>
          </a:ln>
          <a:effectLst/>
        </c:spPr>
        <c:dLbl>
          <c:idx val="0"/>
          <c:layout>
            <c:manualLayout>
              <c:x val="0.11666666666666667"/>
              <c:y val="6.94444444444442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3">
              <a:lumMod val="60000"/>
              <a:lumOff val="40000"/>
            </a:schemeClr>
          </a:solidFill>
          <a:ln w="19050">
            <a:solidFill>
              <a:schemeClr val="lt1"/>
            </a:solidFill>
          </a:ln>
          <a:effectLst/>
        </c:spPr>
        <c:dLbl>
          <c:idx val="0"/>
          <c:layout>
            <c:manualLayout>
              <c:x val="-6.1111111111111137E-2"/>
              <c:y val="-0.157407407407407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spPr>
          <a:solidFill>
            <a:schemeClr val="accent3">
              <a:lumMod val="20000"/>
              <a:lumOff val="80000"/>
            </a:schemeClr>
          </a:solidFill>
          <a:ln w="19050">
            <a:solidFill>
              <a:schemeClr val="lt1"/>
            </a:solidFill>
          </a:ln>
          <a:effectLst/>
        </c:spPr>
        <c:dLbl>
          <c:idx val="0"/>
          <c:layout>
            <c:manualLayout>
              <c:x val="-1.388888888888894E-2"/>
              <c:y val="-0.166666666666666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chemeClr val="accent3">
              <a:lumMod val="75000"/>
            </a:schemeClr>
          </a:solidFill>
          <a:ln w="19050">
            <a:solidFill>
              <a:schemeClr val="lt1"/>
            </a:solidFill>
          </a:ln>
          <a:effectLst/>
        </c:spPr>
        <c:dLbl>
          <c:idx val="0"/>
          <c:layout>
            <c:manualLayout>
              <c:x val="0.11666666666666667"/>
              <c:y val="6.94444444444442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3">
              <a:lumMod val="60000"/>
              <a:lumOff val="40000"/>
            </a:schemeClr>
          </a:solidFill>
          <a:ln w="19050">
            <a:solidFill>
              <a:schemeClr val="lt1"/>
            </a:solidFill>
          </a:ln>
          <a:effectLst/>
        </c:spPr>
        <c:dLbl>
          <c:idx val="0"/>
          <c:layout>
            <c:manualLayout>
              <c:x val="-6.1111111111111137E-2"/>
              <c:y val="-0.157407407407407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3">
              <a:lumMod val="20000"/>
              <a:lumOff val="80000"/>
            </a:schemeClr>
          </a:solidFill>
          <a:ln w="19050">
            <a:solidFill>
              <a:schemeClr val="lt1"/>
            </a:solidFill>
          </a:ln>
          <a:effectLst/>
        </c:spPr>
        <c:dLbl>
          <c:idx val="0"/>
          <c:layout>
            <c:manualLayout>
              <c:x val="-1.388888888888894E-2"/>
              <c:y val="-0.166666666666666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9"/>
        <c:spPr>
          <a:solidFill>
            <a:schemeClr val="accent3">
              <a:lumMod val="75000"/>
            </a:schemeClr>
          </a:solidFill>
          <a:ln w="19050">
            <a:solidFill>
              <a:schemeClr val="lt1"/>
            </a:solidFill>
          </a:ln>
          <a:effectLst/>
        </c:spPr>
        <c:dLbl>
          <c:idx val="0"/>
          <c:layout>
            <c:manualLayout>
              <c:x val="0.11666666666666667"/>
              <c:y val="6.94444444444442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0"/>
        <c:spPr>
          <a:solidFill>
            <a:schemeClr val="accent3">
              <a:lumMod val="60000"/>
              <a:lumOff val="40000"/>
            </a:schemeClr>
          </a:solidFill>
          <a:ln w="19050">
            <a:solidFill>
              <a:schemeClr val="lt1"/>
            </a:solidFill>
          </a:ln>
          <a:effectLst/>
        </c:spPr>
        <c:dLbl>
          <c:idx val="0"/>
          <c:layout>
            <c:manualLayout>
              <c:x val="-6.1111111111111137E-2"/>
              <c:y val="-0.157407407407407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solidFill>
            <a:schemeClr val="accent3">
              <a:lumMod val="20000"/>
              <a:lumOff val="80000"/>
            </a:schemeClr>
          </a:solidFill>
          <a:ln w="19050">
            <a:solidFill>
              <a:schemeClr val="lt1"/>
            </a:solidFill>
          </a:ln>
          <a:effectLst/>
        </c:spPr>
        <c:dLbl>
          <c:idx val="0"/>
          <c:layout>
            <c:manualLayout>
              <c:x val="-1.388888888888894E-2"/>
              <c:y val="-0.166666666666666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0.26805555555555555"/>
          <c:y val="0.19212962962962962"/>
          <c:w val="0.41666666666666674"/>
          <c:h val="0.69444444444444453"/>
        </c:manualLayout>
      </c:layout>
      <c:doughnutChart>
        <c:varyColors val="1"/>
        <c:ser>
          <c:idx val="0"/>
          <c:order val="0"/>
          <c:tx>
            <c:strRef>
              <c:f>Calculations!$M$5</c:f>
              <c:strCache>
                <c:ptCount val="1"/>
                <c:pt idx="0">
                  <c:v>Total</c:v>
                </c:pt>
              </c:strCache>
            </c:strRef>
          </c:tx>
          <c:dPt>
            <c:idx val="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1-7313-4FEF-865B-A9429DDC9E05}"/>
              </c:ext>
            </c:extLst>
          </c:dPt>
          <c:dPt>
            <c:idx val="1"/>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3-7313-4FEF-865B-A9429DDC9E05}"/>
              </c:ext>
            </c:extLst>
          </c:dPt>
          <c:dPt>
            <c:idx val="2"/>
            <c:bubble3D val="0"/>
            <c:spPr>
              <a:solidFill>
                <a:schemeClr val="accent3">
                  <a:lumMod val="20000"/>
                  <a:lumOff val="80000"/>
                </a:schemeClr>
              </a:solidFill>
              <a:ln w="19050">
                <a:solidFill>
                  <a:schemeClr val="lt1"/>
                </a:solidFill>
              </a:ln>
              <a:effectLst/>
            </c:spPr>
            <c:extLst>
              <c:ext xmlns:c16="http://schemas.microsoft.com/office/drawing/2014/chart" uri="{C3380CC4-5D6E-409C-BE32-E72D297353CC}">
                <c16:uniqueId val="{00000005-7313-4FEF-865B-A9429DDC9E05}"/>
              </c:ext>
            </c:extLst>
          </c:dPt>
          <c:dLbls>
            <c:dLbl>
              <c:idx val="0"/>
              <c:layout>
                <c:manualLayout>
                  <c:x val="0.11666666666666667"/>
                  <c:y val="6.9444444444444281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7313-4FEF-865B-A9429DDC9E05}"/>
                </c:ext>
              </c:extLst>
            </c:dLbl>
            <c:dLbl>
              <c:idx val="1"/>
              <c:layout>
                <c:manualLayout>
                  <c:x val="-6.1111111111111137E-2"/>
                  <c:y val="-0.15740740740740741"/>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7313-4FEF-865B-A9429DDC9E05}"/>
                </c:ext>
              </c:extLst>
            </c:dLbl>
            <c:dLbl>
              <c:idx val="2"/>
              <c:layout>
                <c:manualLayout>
                  <c:x val="-1.388888888888894E-2"/>
                  <c:y val="-0.16666666666666666"/>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7313-4FEF-865B-A9429DDC9E0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Calculations!$L$6:$L$9</c:f>
              <c:strCache>
                <c:ptCount val="3"/>
                <c:pt idx="0">
                  <c:v>Permanent</c:v>
                </c:pt>
                <c:pt idx="1">
                  <c:v>Fixed Term</c:v>
                </c:pt>
                <c:pt idx="2">
                  <c:v>Temporary</c:v>
                </c:pt>
              </c:strCache>
            </c:strRef>
          </c:cat>
          <c:val>
            <c:numRef>
              <c:f>Calculations!$M$6:$M$9</c:f>
              <c:numCache>
                <c:formatCode>General</c:formatCode>
                <c:ptCount val="3"/>
                <c:pt idx="0">
                  <c:v>236</c:v>
                </c:pt>
                <c:pt idx="1">
                  <c:v>72</c:v>
                </c:pt>
                <c:pt idx="2">
                  <c:v>13</c:v>
                </c:pt>
              </c:numCache>
            </c:numRef>
          </c:val>
          <c:extLst>
            <c:ext xmlns:c16="http://schemas.microsoft.com/office/drawing/2014/chart" uri="{C3380CC4-5D6E-409C-BE32-E72D297353CC}">
              <c16:uniqueId val="{00000006-7313-4FEF-865B-A9429DDC9E0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501E630A-4FE0-487D-BF06-23FC34D190CE}">
          <cx:tx>
            <cx:txData>
              <cx:f>_xlchart.v5.2</cx:f>
              <cx:v>Headcount</cx:v>
            </cx:txData>
          </cx:tx>
          <cx:dataLabels/>
          <cx:dataId val="0"/>
          <cx:layoutPr>
            <cx:geography cultureLanguage="en-GB" cultureRegion="GB" attribution="Powered by Bing">
              <cx:geoCache provider="{E9337A44-BEBE-4D9F-B70C-5C5E7DAFC167}">
                <cx:binary>7Htpb944svVfCfL5Ks19GUwPcKVn8xKvSTrJF8GxHe2kKFIL9etvPU66O/F0Z97GXLzAANcJ4tiS
SIrFqnPqVD1/v1/+dt8+3g0vlq41/m/3y88vyxD6v/30k78vH7s7/6qr7gfr7efw6t52P9nPn6v7
x58ehru5MsVPBGH20315N4TH5eU//g6jFY/23N7fhcqa6/FxiDePfmyD/8G1P7z04u6hq8ym8mGo
7gP++WV211af7WCqu5cvHk2oQnwT+8efX35338sXPz0f7Z9mftHC4sL4AM9S+YpwJoTGGj194Zcv
WmuKr5cTjPUrgSWRmGH99PXr3Bd3HTz/+5r+68VbU4XHhxe34S48+l9v+6MlPi3w7uFhePQe3vLp
+w+H+u4N4c7/fvni3o4mHPe2gG3++eWzuStvsy83ZPb4mm9vn/blp++t84+/P/sF7NSz33xjwOfb
+q8u/ZP9Lh6nu4f/TdvpV5QLxjhFX0yjnttOvBKcUyWV+tW2X87NF9t9Wc+/bbc/GeaZzS7e/Ufa
7KRtK2OrHx7nv+ZxDL3ChGFFBftiNf291ZR+hZkSlCv+2/Vvrfbriv5tu/3pQM8sd3L+H2m5X+58
CfE5WPOjUPQXbSdfMYwpl0p+sY383naYoFccXFIhhv/I435f079tvR8M9cx+v/xnRss3j8vd/6Lb
UfyKCaqYwl8sg54BnYZgSinRUpLfgum3bve0nH/ban88yjODvXn/H+FwP0bgL3v3Bf2/u/OvEhT9
iiPwOEblF4JCv3c5sBs6BlOqv4ZT9qu7fwG5Z8Tgz5f1x6Tk2ePfvcn/J9bx54zkN2K3uQt32ydG
+A0p+fHVX9nMs0d/RCy/7N3JA7BGYINANn5jmsdBvj75Zddv7RjKF5u7xobfCM83Dz7e+fDzy0SL
VwwcUnClKQcWqmDM+fHpEkbsFYJAShnXTBLBxcsXxg6h/Pkl4680A09VlGoFx4K/fOGP08EV8oop
ToSE04AFwvDQr695ZdtYWPPbnnz9+YUZuytbmeB/fkkoevmi/3Lfca0caRiCIISxwJogjiHa9/d3
N4AqcDv+L428CXnukjPG8HStOOu2Kxv4SdeuzVb2o9+gdSI3tBXTXlm2bvEU9YnCqtwUjZ3fxEZ0
Z9STLsMuqENToYmneV2bzFhcZ1KYctuE4qbo6YE1YUpzNrQZY+bdPDZXM2EhbeZCZUlDyhSLesly
z3SqO9OmnjWoSB1ryW0wrkz7nshspUV3webJvzFUl6mXgW3iOLQPKBnTqOjb2tafaR9cKvPxOuoY
bmor+N7NnJmU1mN3U9XreGp75c6iLKeQLq5r9hNdq03dmuU8zkKedMXSbet6DadsyPUu+JFmdWNX
sSlgOy8GkZAlnVnMN9Oy9F0qF0fLNCITDysa0Bb1LM967vg5GtShbclNj7BMadD4ddfgM5Mv3aZe
9JgWKpBtUzYxdU7lu4D6LoMDY7fK4CF1RTOn1eyyoqFDBsbqztbAmp3kiTzt6lpkuc27dGSy3y2k
WMxhMRTzjPul2Dbteuu4cZs5lu90xOTt3HFxsjA5fTDYkrT0Tm9QpDa/6IdI0La1ZTXozCUlRmeT
yel6awbaNOO2mq1K7pt2wXJNbTsm624Uvh7S0Vi/ZohbNqUJCy6kgdfxxlGjLnShUbKdlaNLOsTJ
zfuO+OFAJF/2sjPGpBVm8nLpTLhJZEAhjVXSlSFVq6dTGoqKn8tmQFmNl6rZJs2aNGmYdNem9cia
iyRWtE82Sbcsxbq3/bAOw2tbt1VStmljlZI8hYG81Fk/LWY1pzI3QQwfLMn5zbD2c9Wk2tsqqZt0
CHao5+s8NN3eOKtkcUnlOk3zTuclGtc9W/sh3GgfSRRvZzR6dJtMUahim+i67XRGim5cyA5xpZYK
FiAsR8trSLFj73bO52bMcIvwL1b1y/W8uLVLY20c2ZEK1zZrkmLZVJjrPEtG7/W2ilPyrmx41WzI
KruYBtEtrxtAf5Ua7R74Wrh1Yx3Jb0xbJn0GkcT1ad305bucm6a7SOpIcNb1EV2u0yymXZvIOc9G
V1qT4mDMaaxxebCmTbbVKmmRzWqMt0NeyiKlybD80lStblLuBP3oSkY2bdEVl66M7lK4Sm3D1PeZ
KLGZ97AA9HpFnm+7wqHtYtr1UEXTXwk/mHd6ccuYSofZmrJY+zbFGg8npK7zk1KJ/ET1MplT7oNs
0iIsfIMTHNYUYSPB5GvTpTWnIaZ4Ksm2RD7cjJM0V071xV46lpZ44pe6noo3edsvZ33bE566pFg/
fJs3fxdE720fh6oovwobv/34jze2g79PifTvvzzqIr//9PpXQeWHd+0f7RFN/PObjoD421i/p+xH
EPotf38Ga18kmF/B4K9c/H8DRCD+CIjHnwMivMtQ/C7cHPHl6zNfsVChV4ohDGCHCOR/jP6OhYq/
EkgzgiQAm5D4CJNfsZD+Dn4UgRogmdCcK4m5In8F+xSCLPRb7GNaagF/OBKYMcIFTPQd9hFrVG5V
e6Cq+DA35ZIG39itkOi9ScTtMCUHg0b3XnX4fZxnvBtl3PllOg1Rqu2aOHJC5y6e+FavqcEzP9Fj
0+6HiPqNTJzJIFINn2M+iY0tpdpY5dF5UrT9R8QFuklIJPs1CeOGtvOa9aqqdnlilu1YyJt6qtTV
DJDUKAj5Zq5mGG1sUzo7t/UJIZs4s+EUhSFzU3cZPRz2PgCa1u1yMni5XnOf842Vs8xwnMc3pNJN
VsQFvK0q+5Ql+HpeKd/7UPwiWFelZJ5bCMpt+TqgCp/VFNaEkKmuMPjvlifCXSkqt6xq341LTEe6
rGl0gh86Od3ZEdfpRKd5M7B++VQZXZw1M7g61atN+9aJPfcz2g5skPvZRJ/NrF22LaUPoV7ojo0k
31SNYGkuxzsyxTlLwnRa66bbdZWbN/Vqqv0aTLEFq6ZzKc1N5/wutHG32uQyj3W7HRO3HHqq53SR
Ft/onrTvw8T7X/hU7zo9X684dDcNROfzqlXDmNZKNk2Wj+3roafFvCVqQpkzrnk/rra6bmjJTqhP
QkapWea0L6bh1tEkvwXxg5+xJq4yTTo+HIog3Hle9tXFYNv5fa6Jf9Bc6HdLRxuTWjvOG2GlOi8B
u7Z+btiJG1t1Lee5SU1LmyJtycQPgar+g6xqKbJaTu070xh+xttS7xFp8QUzK5Lpilvb7ArUD+fS
EbXpK4ph8zQZcVqOzqWe9OZ08Hlep6tF5tQl6+hSp4x0adU2c5Ji21UXKFh7BowJ78gs64+STInY
LHlhtpxU+buatPZW0bzbLl1lb3Fj8QUViz1jc63Pi2WpP/Z9nlSpxrIqdlWz4l1XJ8s2ILpcRT5V
F2NoCpOOBVu2vvJgv7kbDjTMeZvyaoqbwSl25xBt38Uqok/DKOlJQulYZwUoxodisHBPOS1XsIFJ
Ni2xWlPQePGbyXJzugQYUpIxjhtkinhFCjiafMxjc+B+gpd3sYg3skWwxs6i5aYRoz3zlosmoxHs
0KsWBsRhKd22HSqzjVMXN0vo+g8l+N++Ehq2e1lGtcmXyotUlqF912NTXUTH/EPl1mmPR9o/8mVY
rvLR9pdPK6vzule7acQwfEuIvC7WMskqPnCR0bxU12yBM8iS0H1uu5KdGm7GN75mc2ZFFCKrji8e
aBdv4sjDW7l0cGOb1+SETxBENorauEXaT/t6ZvXHp5NW8wCzrYWexhRHws+qZdZbxbS9nHtdlmlZ
1GPGV9e+Y3omv8wmqew2dExeD7xgJ7bJlxu8zHYzDIEAlRklO/QTGHUcmTlNuhWsRvK537VzFx6C
LKsLg6y4hOQnnrkck5sc1epmdkm3LeFENumqef5Rk8GlM+/KKgXOCwNNCmaU0TS7tiiTW7u6ab+K
2t66wum9bYPePlmrmzt7WxXRq8w3wNoyHCaV2Rp2LkrGz7HzLE+FastpIwoYfpxjkcl2gVO/wj+V
Uh/UwGJGnK0yX68X3pQXk4tXY+LfTK6w6cTtR1OptOhEzLR6TcJ4iebiqpxQk7ahPHT18JnP+kxT
26Yh0Zkh8mbxdEench/E+q4YvNgAyVPnQsCAfc63jU9S0kebKWLsTQAcG1NC7bjHFRY3rK/felzj
CzFBDG+wKjZC9jTD0rCs6uJFtejNvNQbn9tTamR+hUOyXOKF1Dtli1insxLlXtimTpWe2Db2wIxk
74bDNLV9FlTjyk0y4AdTLNnkyKMzkz1zZdWfQdrjt4Z0+IQSfj/gcDCKXwNMtlkzjfSSuCL/kBTk
vU/UfRxtl67Gd7t2akPaRTNtk47GTe3XtknJQKasF8LejpSxbCrr9aGbeEbW0qR8Lf2uD8utqcf+
VMtmT+tQZpyvYOBK4N3ixjyt59icNwK/FRGRVGp30iyxO0GK0MMMQXiD1NgDjWzyFOnxtC/WfpdY
+8GhkaWLseg8NkieDnDw93UUaMOn/APCncuSzqUjjp9p7G/6SsnHisjqwGaHPkqR2A1umjcB+/ou
xoRuwdd9WlGnMjQan+ZeQ9Knc+bSaV0hHtCpPRT1SnHKQRTNVrshOr91nX8oY8i3yKh4sZTD3G9p
MVUhM4GgmJp1GLeQOptzi8VFCzH/Go7VsEUix1d0jWw7E0idsm5M6kNjmn7DfDKlHpP+0XPSbNeO
nMTONint+7uxtWTjlNebGk/vUb5OGbKA9po4vk/EeI8Y+uBKukfR5W9n3MeU0mZKOZ2bzDKevB4Y
f5tHgzIBbpjWIAC8VzXgsPF0EzBS50D8iy2QBPXAJJ9uJK/w2ya6I4eQmmaeiXg6h3zm6URytWTF
VL+t5dikzDNguLmsH8MwtKd66GQK8kK+sVMy7QDT513j4dmio9u4BnQh89peU0aXTVE6YFY04enc
D+qin/r5o0Gx/TgTTC9EYDbjwLDSQVTrpgUvgkgeqlFmpeEuy5tO6VQsdXE+LaHBp57keIGkdhUX
RLtxpwrXIXCJ4l0QS3Ip8KCyhpLFgREtyvKhSLZTU4/nkg8MTozJi9Q63pOUrTPA4DLaC6uwPGW8
y7e549029y5/p10VbuZmrert6h1ksUGb5CIUip8AU2j2GFm3rZY2z9oZ8uJtOSyfTUfIJe6K8HYe
qvnQl9L9IlywaQuxcFOsusxmOftNwvoqQ3I9aTpgYd00JafIQgDrMXEHm3OfQRJaZ3Ue852tsIJl
tW4fWftJ+lalfsjny0Yk6PWQm2HXUjvsHSmnbJybPAPO8Hqx9Y4lyb4ghchatX6oh8H2m9pMbbbM
bshW3OC0Kn276xgKmR0atl/t+nqpyrgfbAIwMOZ0x1s/Xa0NcLxmsh6Qa1KXcXbtrav9fFC0ST6A
2nGBTe8fZ1kBAREx7HQvit3Y5n2aUFekw1BVm3FYwcVBuU4nhW4AQe2lkZAs9nqMqUczf0f7Zb/M
S7HxIEhEQeXFUhGcBqXqfTR4L+bKZy0etnayxaNb4p4GgLzJ2XY7VfW4XdCynFYT9tlY+/xkdvl5
VbgblnO+kbmqT+IqlrO8VqUOmzopG7wVdL3RDURXfCbHRFTTtu7LFvf7ppvr4pqKGnQVMvq5SOGF
2VSkOoFs810ByS9KG42K2GVybuNysgD/Xc85UJUmq4uu4dvo62mzqJ7UKR+bpW5TwO3RbjpRNST1
xVTG+7JR88RSQXNLDoCGvywdu06Qnnad0WNWsHG+zeUKklxc/UVRc7urJ85eB76+dyuttmsvbipt
kwxkrHBTagPZu+b1pZM9/+QXG7OamPUT9ji8njuZ7Co8PQ5FJNuZk+m1mia6gTIRO2ULZD8pL/2V
nltyPkvhbgqgKluSj3QTE/kRykV56rqxvptDEbMqGRgFvM9Pu6QSaVEjlDXOm2yaKlD4egViXt63
+yWwao+UfqOTsKS8YWcrBaLdtvWDJPOUMtcNFwI3WWvZfdkSv8lDpU9jsQqzrfGR9BdxCJ8Qm8OD
bHh9Ps/GA4/37EBFxU+GWt+iadQodcBlkk0zheZkXXPlgSSweM6qIbnu2279pR1Q+9qX3T0koEW3
tcSNfTqHlZ9Fk9tNZcp713WA+onrHuQkjjErD2E3mmraDRgNH4C+iC0hdLkJuV4z4EA3tKr5Ja3X
wqeYtPQUMe02Mq7gaaOZ34lxHs9cT8352k6qz1wM7WVjnOTZqmj5yTgPAmheV8uuwyVAAdKDNCmk
hhZ4QKvVgyoQBI6p4PimGgv1Sxhk/2Glnfm0lhb16ZRTlkDIl9pkI5rNGwOkf8vxqs5yG+zOQ2Dc
KryeVDE3aT9DkmWrtbmoinH+APIL3ggnKeg/pqyyoa5nmxKY/NIVQEpqq0pIfCsd3lCChiLfBuvM
Sm0K7DmsMVuqeZ2aDfVhTAfnp8+l77qDpKE6DG7uD0tiHptlrVIfcwnpoz9vhrGDPGtQN6JD0xVI
M/0NrfW6aWYH7LZmScoLq7ZDTkGt1So/hYW9hcQv30hd2l1Sd+qkFUkxpP+n+vx5f83vZRDQEqEa
9eeiz3+3d5/uuu8KIF8e+VXzYa8UlDAwExhDJsAQFDm+1j+UesUkJhTUHgL9N99rPq8QklxqhSh0
7kgNZYmvBRDQgAhhVENSIwSUzTT+KyIQCFjfS0BcQP0FVoEIHFF6lJ2+lYBq3BPmwUUOELsZ5Ax1
XA+jZv7NN3vyVTL8ts5yVJK+qbIwWCyU0ynoTYoCfyXPplmxB/V7BT3Jrwy/aSykmXRE6rKbp6T7
clK/tPX8wVywoc/n0lDAp4xQLQV0znz/SmCL2uuJ5oeIrb5EYpheC47pKVvRctWLrir/xYRQPvin
KSXVAnNoE1MYiphQd/52F5fGc4flkIPcOwCFyp0N53YYISGySWd5pvSs3yFoCAFtfCwAVThE+AhJ
zEzM3vEC8tJpYnM6LhB/+roaDtoukLVHPaBPZqmGc6e93ru80Pt5Hao95Gske0on44C767Zp9b5N
hvAWB2FO9TRAppCDxJHHUF0wgEazoYUp99Gh7qQqfNy64LtrkrD1UdfVCiI7G97JvniNxlhtZ9lC
uOxbdFgJbV6DeChUVtZ0vCZ+7D6vdLWXK53rtwRVdWpQ3u64K02Gqw6IljXzAVnADLc6slcTshD8
4rzF5dJDVkn9mcTBXgy9mtPQNvQOtUVyaMXsNuuQzAcXWxDf2aJzkamE2Huvuu5crN1yre1ajily
swLqpNgOeTJ8qJpEz80GUhDpoeoV52L2HzQnPPrz0vT1Tj6F//kJCtATLKAjQoxHrKiPqAEyG7nR
T1AyI68fauX7GvT5I9h0JALwJEcMGoCeFSk6IlNTtopnlWHtJXqCLsEKey6PeBaPyKaOGNfk1bAh
R9xjTxDIjmgIYtVNuVTAvheoEpVHzPRH9OyknXZ2QWGnnsB1saJ7GI6IWwL0xqHuNwVV/KzQkBWm
eOUlCGmwOaXJ29fuiOBQUE2uqanWc/QE8H7BzYkwEwLYr+ocpYlNbtmRFeQMscN0ZAo0Vs05qovx
ofAifGqeKMX6RC+SI9OALfCbMhf3LrTZjOfhwrRoAn0R6o1HpiKAsuRH7tI0xVvtkwoOKfCa5Mhw
VihLZX6ZTWYJQ5nOgQnJPpzVT+RoOfIkgVR9B1llDjfLj/TIpsojr1qODCs/ci0BpIs/0S8oZjE4
2uA9y5Gd0YYRoEDT43JkbnxIwuvmyObCkdeBZfmnfmmay+rI+poj/3M8JJCbqhvndLUdgSQm40Av
IGEnW3JkkMmRS85azLfmiV9iYJoRKKcB6imfSGj1hZGGJ3pqnqhq/kRbxRcOG58I7Xrkts0TzRVP
lDc+0V/1RIXbL7y4fCLJ+RNhbr6w5+ULl14T6zZjnHz9hg21KgIUiupFTfMbGUO51djLYsNjOTRZ
kjcVh9IUEqkOypj9PK1Cvl8SVqidjA2BMraaPdpUbRLVzte+gjpR0QWxg6rqWtxMDYc7aV9NxYVw
w1imthvMfFUAgVA07YXz5ZnOkwnyTg+Z7wfSl+NQp8jkSbmdh0WTd/U4J3znFs3lg1xK4MllKENy
2sS+GIfbpstN5/ZY++ZDwvvmVk9dtR9AVz9OJvlhQqApyjwmQ5ZTksd0HgU95ctkUQrsaR5TnoD+
ywOlpzPJ3TleFn4gXXKUJhvQTTfdqvEbUtqiTr07/lrmIr+NcZzvBTE5lAohB9uxhtIT20ISB8Vi
EzfN2LKT3oM8/CQUhm5cTda5HHS7RM2gGDHmXSYniXdQALCbJ4GU9xr0DY/Ukiax7MACuf64DPA/
FxJzu3oEsis3ydhvoG7aXS+U9Y8MeiDOYSEgEjeE2bMetNd1M4qiLbdDnO2JQq2+bHkl7trOwfpo
O+Fd7mV3ncyNbLJGdbC2RPRwjR9FU6KG9h1FYblqm1qsG7WCVFiAxNinHmgEThcLWi/4bbv5Pxb4
DQu8/7bh+Nceo2Mdj7AfVv6edRD9zh6fnvvKBIV4pSWlAjoLKfRif8MEoff6FcdEQ6L3W4/M1+Kf
xFDxYxJ6n4jC5PdKIFavNIiU0K+NoW9bQ/P2X2GB9MiJfudnx64cYIDAYCiRQlP1nJ+1uB6gftfw
R4XzMOot6VmftCCXTMANOB/75o4lA/c746KPbBPIwsslS2yOPhVmYCaBGL808lSXHMoRjU6MO8zQ
puBft7zrk5jaZuH9J95AtctuEiHammaFlAw/SgjY401bAqbcKcX7/J521ImLQlSQGqYdrjwshfV8
6C6hKyPMoBa1fGj61IKs3p1jGR0sueg6HM9IR039OfETyDTZjznssRPo2z3SSJMjkWX62EpP0JFK
f9MpJHFXjaUo1WM+W1O7A5QOWnZo2eQHeVh9EaBEuVY99Pe3KK9Ivvvx9Jg8n19KKilQf3XkmrCY
7+dfa6q8QKJ6qHFDmyoLlnJoudGaJK7eDctcDAGqRaFgJfShJGtvrmZGoTCaQcuBmOlpEKXxDRTj
HB3whebKwbUfL/J77g11beivhMZmTaGiDB83kM/WuJRVQsqBJg8iGSZEQNaThXS7VrFAUWqGIMTH
hqM8nPx43me2Oc7Ljj1khKNj09jzefsxWmkTqh5Ac2qhUDWhvvXvS5YTU6RzXY3VpcnhEyEhLUtL
iPgXGcD3hfTja0sg/kwRzaAoDz70vWkKqPUlaCnpQyJb6ShotkjwO3CkJJzYtZLtRZVgi4GzuDje
Nh6hFTq3yqqFTfnxRnyficBKoDUO+uO4gm462A36zABBVKiOjcnvQYExfNhb13d53EIy4HXcRzUs
YJUfT/nPLw8fPhAMOvygmQ5aNI8ddt/4RSkBZuqIhgcmZvDyXcQCFFRgZPPo2bZSORMfhxF2HQqz
Qkrx0aI4DRp0SRBo5n9xEPCzSAYboBEQ3aOjUgin6tlqCr3WXPch+QR9XLJLDksojw7RLbaEz5OM
c83WY50Jepj6FOgLhVXxCpXjbdeLOmYmwYO51V0JPGjjuB3ITTdVxn/68Z4d891vYomE/BQxINnQ
bwgxHD4m8P2ejXOuBuTW5dMyhAEOARobBJuFlpnyJF0GOiW3PWnc0WnCbI/fKqBTf3WzoOsRukko
EscmSwah7ftlKEd8iF7YT6blCcTwGqLXOqdTRCHyM5oDX7vzwOKauw5SSIioQ98NmB9UUidTk7oS
ou0x8scSnoLEo53O2NL0tvsXYQU/P2PwESXoioGuT0XAwkI80w8WOpteg7L2yedEQH21Dr5vxyu3
hqo32eyig8UlsgM1YWuj66B8rJo1JrczlOhPvB7ausi6dUXxrCsddHxC+xgUokI2cpS0oLXpYu0y
EBQWCIkEmsawOUWrbmHUpsqh5eRfuCk+KgLfHgAQfNSx+QbBJw0Eh8P6/c7DyTRuMlP/UXLLa571
CJpeXZrno9ZDhleZ/A9lZ7YcN6516SdiBElwwi2Zg8a0LFk6tm8Ylu3iTIIgwenp+6Pl092linb1
XxeVoVQqSYDAxt5rr7VMaE/Xt+hZG4/fmV/hRDkp9We8zKMI+pOZxb9vaO99FHfJNiQbyQGc2gPJ
u2VRgWc0ad6pr0qzi/qjGKrIu3edXKxQXc3KdMh0qreXJl/WNYwNzb8eFNZ25+ARRl5qXemGkvdF
Q+MLLlER7AnC4k0NMEVl/P3xdIOQLKF12nttSpfV9rLVQQUdxK7r/dAqmH0eUNfKnDcFPLXtJYLn
yLMT8Ct5GTY7G6F/+IMYTkFo9mdXLVlBgtH/uryMMmud46hbSr6iI3ngzgur3XODUflN9W0ZgrZX
JwATZ3ryRLeNd1pXqQaBbzScXitLm+UK/sacfWmjNvVeJntyWGRhlJFnTH3bkaL8OTa8D+HMfggN
DMK7Fwa+cN4tDUGTMnOkqr9uTjPoLF4gjakhnruyq6+F6WcCxZ+v+D4auSGxyHU4t4Ep5T+uOGh7
yOdGzF/EZvbFOBtvD3/uEFYc3sHU+8HXtBQbi5CGzzhk9yGBhXX659vY09m/bQoRBgHU18D1gSPh
hb8b+SYm00Mob14ar21GEY+d8a2fXZ/3RKO8GloH3DvsiodpiDIijsr9Ljvu/OGpi6OQXhOUWTfr
b+s0Cp4WoeuI/tnsBNPjGFl2kfT+Bn+HRWTncWl7KfWSlwLcstlzm3XYTTnZxXVaVuO+8yfAxQ8u
5/3eTa60WKbzn0f8Pq5Bb49s0g1GzWhh3L87raogzdu5H8LnycC0k0dfa5cklk4N6xZI2fOucgei
bE+pKwUv2fgrs6UW3Jc0TCFK4qd0CfYl7fbFBr+oUK7YQ2RPNeqc+npSO/PIXyt2XTo3e07trFSU
Lzp0erbRn4fkvotsERkQBIWdTcgTRIjzLlRDe262rmzd52jMBXtrVNl+A6MlzL51f+1jmJYr95bm
y77FiZV7SNGq56CBeE0a7yz+/lbXV0P1rZYlVJxirvd5AEjsgkvaL3yqyMU+xDVrguFUWaEWJxVp
2ijJynnBcP9laO+yTIYmHWBlh61i+0D674Y2LpUT1qZbn+E57JFq1D1La6u3ovs+2hHwU7zSAdpe
Qrfdz8fG6hweyBI0dbbCZwicMTtJYZn5mSxVMx3wzgSrT0wb0aQtLMkS8+Za7dHNEDavClfNhLWR
jIQLFmMK4plQYzlMRZN5TMUIEwmGnl+bki2RS7fkp7f52UNhRevif3c3Ht6OqP83kg9pNaAPTaa9
E1Cl/Y9U15k3eBBBb32aACyJDm/prZtHywSrLHLzrP23sPDuONov6QkSe5tjCb3I+8LLLjtSSLWE
nwbjsELGddyJb5z9zI9XKq/zj+lsdcsQB7VYmfB6SltSFoIeswRKVY8PYTBEaXlKRy8iGLAhp0eN
RpoToLHY+OPSclD9fmxZP7dM5VJHLXuFXbQ/jqxa9gcBDuzwItdSTo9213TciV9VnE1VMO516p9n
25Pi7zGRwe+HAEHCQY/zz4qKdHCwMntZP+X5GtRpPJpKqCSdAZougYtUBSg/14GKoMK4ssxhFPRF
f2PX8FNhxJLtWLc6ayzvPm3yUCT93C3Zd7sA259T4wWHKmy7+odX1pt+bMCckcRDsJw/eJNjL0BL
ZSt9OrPkj4M5zbMfTRfd5+nSxXQoG+dO2NqRh7bV0knKZTQ6jbsl6rcyzttJe/BklmpiM0ybntc6
Xiy/9MqTdB3jPQX1uHpZYi8OwPlZyTl3UvK3NBuvxzwkM0vCDWrwRlnLUlTX4H2piXvA+eA0yTCj
kdJYy/ZpDjq3eDFenaUH4Y2uk6zUp90aB9kIZUgWLiygzK+zq9AV46Hv7Hm7TWVr22dndnL3lFlD
lNtHRWfKe4a6mVXWs4QyuXxaxkWM99YwttYjJ0Zofvg6CPTzFk5ZC+Gt65x8+CgXOGHntADdgI7r
RU0Xy6oTbp6EGoZM9Oo0ZdT+yF3VTcuBpbL2P6UZ5xlaQD3Dh7sa07b3owN1gF8H57SxquACsdSq
UOYEyh3q/GcetQL5TLI4Al7fPX1mSJ6nzdGDyqFj2GNgH9vWUyq8NoDteX3X+kvVZ0c0AeM83c1+
mu0Ua6+Zjf+Ytq7or4PSy3cIeKGcqmIoAnTYk3qIilnGmeVB0AFF1Fu5Xs/ZYOXFeS4aTpukkrNH
gJ1UYfzPnWUCf7hmccxWmsyCtMW5GEXWJeNxFdESfKjdMORlfHvTKoqa39mSqh6+TTd4/SsUXenC
eA60ytwrZ7GsMEzW0q9MeF7a0kHy4nvTfi7avlUwnEwA6ItvSwr1TSaln0s/g4CjZhU+lKlVzvUp
rITlquvKrDKaPgSl8AsZ91LumESoRz+vXsIsTa0N9Vc9MFPW2hOy74nafe7fWiLVYX3nFH3h1A80
/8soPc4lgSA7Qj0S3Dsha78ldCq17R7tLF+L/mCrqtTRoR1ty28/u5kL8RhqcC3lM92mvk80dTAz
60am4ARJnCDfv4T7J2VBBSX3nN7LB0afKKQlIjiV+bzPmKjHipduAGF/aptwD/neBPEqTOQ8diyA
rSXfOI+Q0PicehtqDiOG6evLkP84S4aUq9W5Q5HZOsX+eBzl5a7/Hwd1Ex9sPVmCJVnG0jwKq62i
3PuJOEtSccBXItNCJeOsYZ8UUe7DTGbJm968jGVripb5svKtO+eGXu9yH5XhfssFT1ptTwEriysI
ftW/ptayL7BAW/uT91eL92rZ7FMzTQ4f5YiN+pl7mNqByya/x6O1EP0rgFvOe/6iuuCp8r0Ukp43
SwCgWIU52sHj79WTboPkK8PS2geXjuuvyTCsGp38znGlv/n7T2Lwq3thQ4p5+j3V1tvH/zvJb58D
KXCr+9BVDTfgtFY+vVYF8Lw+F61YGXTvbjiRxJkrssJ+ogDPOhn7bw+q26aRpUblbXR23TpyTf3Y
qfJpDT7IBg719jS5Tc1HXAXGpukei3SScWVD+5lp3/gub9IitftX+TaDnWIHEdfexpS7BTVaoro2
mJ2r1UBSYdO8Pdq35RGkVc38BF7BXxz9sN4HvwQrnLxT5uj9MrmXB7y5dr0d5s+bVXhmvGGkYp/e
t4W0wTznLhnk/i1OoQf+Dv2KYHUNY77f+tuEWtu88UMHGc8Lj5aNMqu83lw/XNQ52xEt+zgXpmNP
yzLbkY9h5vkWU+j2r06QtSyfwSdjZfB6Itn9MIBl71/oTvsL1LOIl7q19+3QbP5+/y39lXx+NnVW
Z8WpzSK+N++Fk4kryJg0oG/F21opSviu4fn3lKOf0tzOUoiKL+EE6Lh4qYqKc35y+i2wn8ncymg6
qN4aW5iKQ5Zycb/McXU5jLUC26wBDIBseEy5uQ67bN/OhvOV96rVBGV0qkgWl/VGyKFeuitonnbT
JLX06gaB6JABGyIOM3w+H/uBF5JGv740veH/awP/7Ktvzw5QUQ+WX1+makwBBWZdcnUnz7rpZWe5
UgWk67av/VkSysvTInqXCBPpvDbRsW44YlE3WG0qh2tfclQtX2zopMSbrO66qrr6DSeXY53r8mTy
mnr3+wrhVYgrVeZMx1n82jPIBWsmjCZhlW4vIo+6eXzuxZzPwdX4NvRFZujgDlAZt4oRVXTp/WOw
2Q5RbtTePn3OovZVA161L/E3/DQaqpkZcIy7j3csCpcXzQLn8wjwfH4q6g1cGXVV1coYyGINmnuh
HM0ngtXZa9jJNwPr6g1k2Ry/1inEtV6n7nWW9hvfsb1BbyllOahh73sVeGnqVJS+TUPthJipBpjw
b5sq2PfT6CGdLFClRiOhUgQpRIzLsBJp4KkL6OnVlaHVz/y6JqrA4pHWZvy5XmtG+WUmPUutmzkd
YIBepCh3kLIzHHf3YZWKYPzoAWOt6XFJSzqNp2BW8E0PQBdwjOIQECj46mUCTmzMYSh5+BtcDkYV
tM1+bDR+ui837cLMcw9vM1mOHUi0KOxCTDfzBqU3/FhttG+fNMk0qMKmYCN8Jd6yvqxZbcxAiZ5t
X0YKQVh/orzcUaq6IF8ls5ZNN6uvgVzz3nn1ljqoL0HQK4i5ntsNo/XXjKxzSY+caKJGiIrOp7eS
qIYq8wIiOVfjJzvryyxLUn8V+fI4h+Q2/Q85FRD3vwywFLV91pWZGplY7jZULxtCKa+DqhxQcMSj
43TklGHoS+MYVnlTSjeZeNMKpzic6Uwth98jeXuWvSoBiGHii3Uf1q9wU9fTHv/kmu3RhOx/37zF
0OyfaH+h9yhP9vd8x7b4BKqa/YOpAJ1ojlTue2+jgNLLVs7IFtPLNq6OOpZs1H1Xymb/ze8lS05J
JKJZvv/qDQ/fw6mVJXpZtQjhSWo7ejDoT+EaznYLeu6tG4oqSLvokXPSsm2HAwf6RLx4pGXjdY/s
FG6HTf/hAm653znUAP7094V8LTnSepbKLjjZGxItIvCwistWGe8j5MJ9fNUb0NhHzg5GW3W/g5CD
DrTnHZqs6bs0zvvAWE+m8BWfH2e6eNNN4WZ7Gpd7C9dAtbXflvm14ayu4hyJUx91HKmMu7cZD+28
7GsyTDe3KnZSbdsgmClrduPpbULAgfegV0GY4nu9wbHK29wVNaLDP5dX7wp6sBziAyvYJbgFzj9g
5XykhwBe7T7lXRdw12GWLeyGuSPM9pa376B6AniBSV30+73/+fI7jvp/gcD75YO9cWKj58R/4D3O
qs3SWfMQAlW9hcYSDJi7oA5gJ/35Uu8AdHaTjbcG1wKy4v/vpZ4zqpgoJZX87xqxq6Xrkl6lnvcB
9uH+9GWQ7w/VQBdnkXja45H9Do5/vpe/w3w+4mxQIQfPqoB2OOvc/Tv2nU7CBb4tsydJVy34WvjO
no8PQxSK44au51/n+Z8XxO9lp15G0gVclO9wxSrXtlM3dvrYLy0HRVZx4l/DjyHM/d7Zfx6g895U
AgrY3oqDVhm5uFy8BzKXuvSydqyDx98RY853OnMMcX/1/dPiDdF0KlW66Y9mFmt5aEy7x3OB4vbJ
giLJefQvd/T3lc6cU0pFksMrlD5uYu/bYis2BHO4iv6xfttUM3kde3wxVUpcL6Kp4BHknkGJdJAo
X7kDPBD2GymV6M2GkorK/uQ3Akl/vBBaIG/1qufj7I/UuRSroJ5M5rd+lnoLs38exPvHyIPzbGH7
dEwcyLTvu6ycu/3oLtZ0yYdqj0zbr0RIDYgHP65WZDxMrv7/oS6fBgjsUZsHuf8H2fYdOBvia8ED
ts3l97G3oNaB+9QRWWE0DkX2P4LWfBvIHw4w44Mji7nU+3Ag5hQkGrXG5e1YIknen0ZY1eyLdoCG
/m/E1b/HH/BZzE9YqDsphbYtP/99I87rthR686ursLV05Sdh04Tia6DZMP+zULdfikcX0cGLPCp9
aLl/v1STus1qsiC7ektFJh90hHXk9g0vf35s73prfDsMDUkznlmkDiCy/v1arT3mabko+d0ugal/
bys3qPZUUYtmLyfnaGqbxG487UIX0zWdjrgmFR2SEaVz+FzibmE9/ct9vVFE/k/A98EwmQIJcecX
YSB638a0bfpFIcqis95cO0enAc2NR2xszzXdX8PW0mhPuiED85Vxk25UsZiJZKPT3JJFwOzKkq5S
IFJ3rgcmYj80qZ9l3dVKzuJ3F0S6lbOsSerSCvsy9H1DeaZL12v7Y1ObzR0RzdnB0Bwi7QMB3onF
6UTwIN/6jFVAkSQ+wNdzelw2MrTaUHnMFBQOWE0JheSKAigsmkNtlYol8jtxCi3+LI+RBe1LlMoh
4hALfoXXtxKo+jWbc964HCmUrHt6Mk+uRaLduRH1S+sappvULzDhRQz1nmRabzmXomnLc7MVIo0i
roaxcZBcDFq2xSFQYV2a+L9QTM9xnse/E6xfmR0dv5n53fpoTy7CfgLxouapAhftM5LqpwbpERmM
TRelyJJ6aQbqPPoMdVk/C9JxiQhvHaWnrsvAtnaQYpg0+C+2K3t9KOd1EP0hr0wDHAwyFNL9iMt8
jLrdwqTLZruJe1j3vvsge6nC+Zj1BJ3+k7/Kaes+0QfZO23kprYbXLpxoLnxqVCg4NmBdQ7N4ZTr
3sFIqHFIhv9aKYmH6MYPltn96vjLOkYX4LxUfWylLCsIse1g2VToBLRlTPBaosd/bDtciiJUte6m
19i2QEymhJTR8aNkxcJnvqvkMA5bTJt8LqjyZaTp1xa5PZw9ux7n18BuqjU/pB6FAJTosG305xZE
CMshRA97K/B3jOzp02fBXdRwnpSnNq9hwJLd/8r/AOT3/HWFg8vL29Kof2WpbVhXlJIaKjrc5knb
QeMQYbMu5DbcCkXYXFmT/MTh0kVPqpUW2rzCz3xE3dn85K+FXx7WYk7PhTeJq8IW23Wjl+kKhKV7
DHXgJvBT80tYjDUGB96kP6Us6isv87shZvflr6VW9efMLrrDIh2U3lEtxjNFOFCXiwdBpOyvXcV2
bGcV3CG3w+HCy3Oerm3pUxku3rHsCvNhK+vRPlItjMdoRdjPig2a77kyTziCqFvtWRmaxmE8+gPQ
OASZ7GrqjDzkcsYNQeU9fANV/ChQWR7qXGXx6rXtwU9lfxNtbnNCpUR3ulW+x1dHa5t4ZRueZr7y
OqJOfNULQmv4GOmPXmLFUS1OjUuFLP1TXtrdk/LoGcQ10NGA/rDLnudli77VVusDMZjm0xy5xdF2
R/vGQ1dVIF+wxJ0HfHjS49D+HMow/QioWcCjGoX8gZwT06PQUc7j5JZ5cVJrax2doRkfh8kDCCEU
HIZ1MTcCAQgqqmaOkjTETij6XEyuXK9hRpjvg+uVzrEzCjOPrGjyFSmUH/2MRj9sDlZq6ZtGQpM4
eM5YflwmUVG/Nd2tP4wOItgo777Z5aDultCzb4fA2Vdo6u+93WyabxbS7Hs7rKZrUHnrpsDUwj1E
RL8fzjyLFhlc5OSU88r6Mqt+/tlb1pLgR7R9G4YSiyiZKmiN2zawcvNa1TFMLm0Oapur5SYwGSJO
28H4YnVCAjGlXjLNYqf8w+pVN3rp9clVxsXFokF2LPwXf16/2yZNL57D9pkGMx6APO0izpZmCqF2
d+LohWN7Ubmnv6xqIVe0abujoTMV3IwqwW7CRz9qhPeNjnkXC7duzx0ARuzazfhxcdrq44A2G+bw
OGbPu1nRZ41JlxtjQYT80NGoG0ruj04wzkMVG2/JtwRThvkB5468TtptKr+Vjdpimk/NC+6pPe5j
k4MAw4uulYuO2Gg7vfFQQHwbomC5K+lDTLRDPMNF0zFO0aRRKZvsLogs6OO1U8lv2iLZOkTkjbCk
y6F/COagOhHo8XyQxRZejU6XP8AfgnMy5/oZgxp1nszinEs1Bd+0QNpN/f689c0WnXvlrXHZN9nP
lQk552NozJH0dH0aNc4LsfZ6OslVNsZ2Pk3XAWLWc09+7MRZOMhn2Y7yVSxKfCp12r0iT9p+Ghb4
YQo7996D8HC2OSkO/dKPT+S9KO/mdrqz9FB93eyuPYvaSWGMAXNf8hVBBQxYIpJdFhE4lV8FVyEN
o0QNbXmufKOf4ZwJ7n9ybxy7FacyEMMX8ML+Qba5vnLWWj41jd5us6HsUUAQcinPEfG0nj3eaOPN
D+2Q6k86irzvaNsJDm6/Thdvbdg8YG0fHDGa20WH83UxL6gQOxO15zRovANlO8xP4Bh5vVk6vUvT
XH/c3Ch/joB0vvRbNH7iwM+u2Gzh/eZYI9yqoDjVMvXv6Lw7IhkbWUM0X1vBetftacus7qGiNfCQ
LZ3qExgr9knPZf9FjcZDBOVv252WnrmFQIWjFUKoT5nYZEPMbpajCKvoyqEXmUxq8z5EUyboGGjr
h5XCbsfawPe2QiZrs5CDH0ID1B7dVb6YwvFoI8nGkqGWKr2bLZU9gP7UF8tb25d61N/4mwwAunBe
hoYMpjRheVlkCS3UV05xIzvlfjVWauakzmf7HgqSeS7caerPOVodL5G5E956aaejk7SRGt80eaQO
9JeRek/04Q+R3JD4IyqWU9yItL10FjyE29XqQ+Y6sOdxF2xNNKCcRTvzdYuM94NYPOtj2MoCuzAU
A90xl0o/llkxNUda0Wt+2xRVV2Bd0fowNdPUsc7hNAzb4xq1SDPOe+phH2S/dNjfMGvdnFU3mPkE
+Ak6IZlL4jcmne5BccohEcbJPs3hhhims+vgDhph6hzm3UbudgQgGF/8gqpUE0e0Gv2AxClroTtd
TWMQ3vjuYrflp02sqTvF69LvBhQuwc6+jjw6Fee+Xlt9yKfBN0/SyjDjmN2sljrWVprVSFM8uTwV
AjZP7OZe/bFbHWs7zxTAJeL+3rXvZlkubYI5ih3ehzXh9ABxDzM3ELeb0h2LBMlkdTNa6zKUH+rV
CuQmmP7WxjcQ/KipdvYYFmfNh3H0ymg8rEEZ1C7A/9CxHzDQ6xODEUxz9BxT53dVTtc4blrg52Qb
lx4vxGalIRWasrpqC8/vjtnsz/dVAXx7KJdiuRIZFpmHILLzEKiu1M51lWlFm9T44YpfFF35YHTH
i+XLJUyaMvWGOERnAkQIlvjiKEv/mBCcH4RWWF11XeqII9oh17gJKVxudQmcAShyM846weNqeV1I
YmaitagTIunIBzrce5biO0Goj4JjjqsbAuDeWeSxakInzI/KXTrfv3esKTDPNJmb9KrcbYWyafq6
bXn2nOXqayaVX+JWNTdPM5yTYxql+owuvLcJEoGmLRdut/Xq1hctCnOacjwQVa82FWNXhoy6afzm
Sbd1cNA6wPsqKjzi6zQ238cs3U5hV9NezJb0ns5nZCfOMuxiPg4b70EOuXjCX0LrQzGBQbEeWDAx
PL35h9Op6qPq2yE6DmGY3Q1di59KjyXX0SzZlKJea7LdYmqR102H34Db9vWp6lP/qa1s5yjHvLut
Utw93Grxbl1FM7XLBprqkrII6V06fWtNaM7bggwvRnFbNwcMBPrhqJygu8BrnMdrpecUE8TZXpK+
ysrEC4ZJ4erUpHBbIWqa6yFgcMcV8P1pS3XxI6Uf35+xSZgOmk05x9ta6QunPId/EVT1oSjJL7iF
9JFTp8A3TQaJaXElLIvM+QoiuJwgE2EGY8vmFKqwfLBKWydTE+Sf7bZ5rksYahmF2yl00/ILOlGM
MnyB+YuwU31jXIGHSaqXMkoKQNubVLkMOrNB3otlSijCxYeSsuRmmp3ie5WL8GuVZs7nyhHz3URH
+eCrvrsWQNkvNAXcao9pqDNFaff3QZoK8laC474Ive9etRfpKzIuTu3FHV67KbKKYx0UNGgBubvg
GgOnoksGXSwjPbCtA8QM59JJRE0ciQOrKP37Wg3ua57nI+Y5CJxanNrCHD8SvjcBlmNN5KtCsRYY
NzxQwk+1JteqsptGdeN/FFVbnlRKCPsrB++scZvAHuLKGqvgMKrSuip6333e+QwnB9G9iYvVUh98
fylfDd4CHA9UnqfOpLC0sBERd7QUNVosyC6xzkhp7pbBqNfKHRfckoA/p7iY6uX7OK7sFTYldZpR
oKs/JrppU0yncDq25YQqrcc3iMN12UjmobP+RL09pacmzMdbD6EetSzpyHiosZn1j9gnwEXGVNZ/
GYe6/hJizJlUgxgOGHX19sXMofNE1y+SsJXI4eJgnPP6jPPMeEP0a+fj0uc55l6L3P1DtsHqLgLZ
nZVgSgLfaW1sXx21mlA+wJRhESVe3uSlV02nbApo8TSYcFQkafq4l7FTkq594ZJTizbdPreDaasP
budgxUJVkVaENBl0m0q0Y7J6PVu2W7beh8AIlHWV0xfiWw2d1cLbwoqWElMW3VaLfV8h5OxkQrW9
eCo2W94MJgk5cP31kNNXi+rYwDL31kM7rWlT4cSWAukkg6EAUw/1BGol4gX6uTQnbVRffM6yyuuy
w8xWob2DSki0Op6WvgtG7OCqoL02ubGav4Yek0L/mMPLanCx6ekBPqW2S0/orCBwje1Br55llw+l
URXPwbOgcZkShjW9CcStmuH/bCwZ4tenhhKxoFT54n/Gv8zNn95AZEvtjZCxljtk6zrpom7xHN8p
BfAY9v4M+3ALf2Reai/BGb73xn7rnUEWX4yacyuP2wgAzqKyTcs54IggHI8vJgdQiO5GEsrlYpfS
Xr3EZIPpq/NG142nxZGHw++riEw7NQjJR7O2t4jpXWuL+Wc0XHdIIOOIJn0So6+K4BhAoC2w3jCm
Xzv4UcVIjkPtkPUnpaKSeGyN3aGCHXXvQjIjdcd35rytEs3nGHnnYgybdVWgwxMIb5FA9TL17B2z
dsEL8ahmmEAS7KDtoruN1A9HHqsOUrpzUyoVZmxeL70jph/CO9OPbF5UZOpnC9bPGLsdorjYM+yd
IyyY5ofd7oY6sPLRtx67YJD5YdLwZ5Z4c3uaoltg1l/s/xtZZNMDIO50BT5d3HV2KpLKDcx96awr
3naigUQ2SRrUyqqfSrnM4XVPCocHcavW3UBrrtqzHm3YlUuE8weioan6oTYbBWiqvQZvNc5Rgw/d
tj4OhTUvJAgWfjohhmQJDne+f9aBNzaHtImWV2tLlxVhdjb3zmNUFZV/wPi2/a5tGusxkmBKg3az
sFu2NZazR9IJPVyZ3K+mH5iJ7IgLGbXbJluV4ybI0ZVap8Y4EaQht8e+JLU9rEu81R6unKELv2BL
5gFYhqmbdQmAYuFToYbrcGmiwDYHzK7N+BlKBnSOWCvYfwlck34iQXJc+E6AW5eMyruJvZ48/H6h
EYijs6jCY1gF9Y2VDR0Ue+Mj+oDzpxooJe6KH3bU+pJWmTXmZ/QUPJhwyaxYwPm76jG6LBMDYPa6
QaRgbaTyo7HsjnFiXhY4CmNEHvYBe7FIHks4Hz8tSFWAh6XKsAaF6PaV4nLOP4Zlo/esS7jFFRlM
cKNx5SpeCZECc6PJKx+7WaT30DezH5l2mPlo3hZodLhZxtW2FUusCnt+jhbfPMwak7yLQl5H1zps
OqJp2CCiqHz56AAfhgdZdvO1A2hRHGY4O/+ZhYe+0a/w0Wm9soQ2qf0n/Be60+i29udAD04sQ/iR
ucZj2hPDtsbostYLWk+3OCDlnhCb1Xg/xbKY5HSdBRrW3NBu0FSzdF64XVnvlA2q4US14YoJso+D
Bj5QCB4P2SQmQq+FDqOIR4WVdyyyAQ/wDO/Qe2GUuctcZ4oOtp+p8ARBQ32al3CEDT22jBKWAqZE
OscnoSEB/9Bbe8Y78G8nYNZlrWuBcj+V0GQqBMcYlUUljDDgkoetAQGIt0Cp4FhNEP8Owm6wUsJT
CoTCh+YHnaVB3izUX/OQt1ggDUsyj/76JSRaTLfL2Gp1qPspehx8jfHNaPl4lVlwjW5E43b3ok7d
2yivqxD6Uro2sXZSeWtZufu61kV1s1hqeIBDWGInEbnfUOuYlv5HKLFV8jHcxlPKQ/Vt5rUc4lpH
WNCZvIhq4q8W9W3puKt/GoPZf7FwJF0uIFeVAAzAdCSuVeN8wRIgW+MGgsilg/liH8PZXykKpIva
ok9tXM4ap8w/VbhazgnnJlkd+fkhF/h17vMWfJjFDAwtXHzDo7oRn3vYH1mMP+0XMTTdZ43JUMy/
XAL2CNMTAlc2seRrLJKsGQeJalisxCLzuNcG2dEA7vK1zYyFWxOb+qCLKvwwmv/F3pksx41safqJ
cA3zsEUAMXEmRVLUBkZqwAw44A7H8PT1hTKzS8quzmt33bVImaVJJIMRgOOcf1T9WXkDHpQxqK/B
BYKjkZnhC4hxGXAZ5P6HsDcnXVxTPupxtU+17AmurHQ4X6Y1gj68iGjVOJAyPEqn6PxkiwwGp7aM
lkNHhkLziIu3TEbArWTkUnd3g+NNKeML+exrX6BZnK3PRbYun6NMWbGQk4ml06vTNmyyH8idzcT1
XPUcMu4fLDezPnqU8Z9NvsSLjYU3DivCZ7xA4c2C+OAgtOKuC6d3hNPqXkzmmsWh6k2L+2C7j3KD
HNjRctsDz4OR4NSQbD4izK9A0YzrebDH1wqwIwkXFhVCLbstXgqrfzHCxn2qCsdtdy6o/kmIzoKi
QwGK558gR9D/Ma0FeND4wQOqbnUCN4+76jMbbd+Kx9GVZATeqaoYOOVlGF40U+OALxvxwrJW7QDX
ABHa37krEp/1MNt4SOzE6c1FFSdzKtpqOyEwX9VzRpyA99Xr3L4+EhDVKndH5L+pjCTUnjuPHF41
Khu4NnQbVWSVBDciCLQ2xsbQXEmZqv3RXE7TuoBixr69eHvqAubwi991ikNlEITQN5xjXmF6CXMe
+onEWP08R2hDColGJs0Yj9prxaPNTYO83vWQqBai/24OxkqiB0QrAsJUCiIoyYnbyrxGxSTy7CJu
5xocoEHyKt/M4UE7oWKFKZ3FH8eXPpwzXSUQxCF7H1amcqluq6qXZLfJ2Q99KzWFM8nhY6o3ba1E
n+WiXHdz7zKSxRsJcoM+Ztg3q4hwl/Xym7h+bkbNocgXHQyvExlyZDmXWVjzd2j0A4LpDCVZmK/I
a8waf7eYURjo/T/Tc78z5LCGKEBMqMOLkxcC9mL4/9XGClQWKhP3wve2FxdCQ/+hcXG8boQol0Hh
TkjStLkYGDDKCoru37yA3+ntywtAKIB5N7q0eWG8+xsbW3or3qi8DL7Vf7yA9g/lSVtHDVec0cOL
/cGU/lkm8qeZ4486jF+z1H+NVv//M8kd7J139/9oAS5Z8b9Vm/xVm/VrBAR2n8sX/RXrRUsU9nYH
HQscELFW/NWfsV6RRZvNJVaL3K8IEWuIQ+qvWhNyHhAvmmRQYbwlLJWLENb20mvikA6B6jvEhOfb
EPP+f5Ttzv3K5foL1cxFbJNJdRF+MBeh+rhc7r+4sku/xNJhyeK8DMRTEy/akxRDSuyVGAJDAulZ
bnKZAZ9EPQxk+0KYEI+pQ49QUomJ6TiCf2S7sG/887YFbpY2ur/oHk1zeWB7aN2DVQWr8VCjFX8d
kKl5YJIO8MnKLQqJZ0t9TVJyiFwQ/s+Op9bcSDcHbkLl6wfMlpz5p82izSPuqj5KN3QOY6pRDBY7
Z+6zs5SZIAIxNIaPqFqDrz+TjhUP05SDCeYGMExh9YJcpSshn137OrJVkcio9W9m9FBxq6dH2djG
PpCWA5XWaBPgw7fKJ1FV68NSmOoWhXv7eInt7lKCKIxiV4UXFL/zzJxnfSUeG08Qcs1Un1qAqcd8
9qOzLcbyyirCAymcoxEXfdnvvY5wa8iTmjdztmuLlKJs2LsqsF8pkLDjEm3/k2UvfhoV7pdcr4AT
/YpzZnOc+8muxpPuSdYoLPu+8Hkge52PVnolM2lhgbl3AgPtZjc/IvwF6W0adLx4ooqvfmaLgxv0
zo60qvrKalvgJ38ZmAnIScCbW+Y3EqLxdi46+Eg1bdO1OaeD3SMYEGP7o0JEvde1S7S/V4a7fAzk
o+1HX72MCC8rs7KdbxQQ+pI/Cm97jYjOj/HWdzvReABMuL0DRqqnapTOo7NEy5UD0X1fSh4eooZZ
tZ3i3ev9Odny5aq57P+wIRVPtsyNcS4ZD7pf2qdmrNtdVzfylsixYqd4R3ZZVD/ASYOwLvW0K+nw
eyYuMYtdaS+3KxLNRCyenVoer9TAo5uYOss/bWFAqFwD8z3tqq6P+LZVRfCwENaVUwzmeTWnbw3/
/i7HMvQQaLpDEooBoseAM/8htEF3kNJWGUGM23brGo7CGa+NQ40c/LAZU/cIH0disz+pa7t23asV
3FmMjru3uOxv+sXZ3vTIupIaShWEfxVWIty6Gcgk1m4y1PV8mKos3xvDdOUjAsd+6t9ojcaHyZvi
H9TU1S6sFuPodAgQUb8L0lKZ/OKJsK2dv6kXAwq8gBwICY7fZ/AVOlqIP+qIE56qe0bVO4NcJWsd
sT817qM1mE3aheKrFAHlPlX/guC2I5xdfmnRv+zr0lbrri3hKfEf7sjOBg7+Bh9AyoqlRLxN5qs7
RUzCa5QdBbF9N3MYRWk2iTzBSvvGYSjvbNEue0Oy6TR17p1W9u0X1zfm3VIxdLTZSAYZKbd+ZZyD
rKAnqbTfdJAN6RS044HoDPtUyTOm/mvVMikOCu6asPkukyVTQgRV4bZJu1TIR2ZR7msUF8znlXwM
M6d5EKGXnzRC0njdaueEJHB5aJdmO3SqthMhxHjY6sW/cUd9Rmo7n0CBshpORM4Pswv2Yq3G0cBr
fDu7VtFxg2FMmk1CvA23iZLBGu3qHrWE016jEL1tx/CjHzAf+v4WfarI2kb23NVxEZbZPa6n8g5t
6zt+LPfEGD8wZFnvvtAe3Dnj4Bc58iubbSESlAf2Vd507d6EzkiEmTcgwW6TNhDO9yvHblwsnHdN
P6LZDLr1yzYBzuiM81lPXIPluqxfonUpWfZKc3gaRpLHTR+3MHTAXU/CfhTrqJnEfe5lhJ+DP8mD
wOVJHJ+nTbb8qj+BhGV9XCJbTHoUFo+qCn4IjHK73F6s/VyEDUlcIV6o2PBVGAugeUQubknjD6qk
yUOIA9pkAL4W2z60FVqFYli4xTuBc3d6KXD1W+5x1d1PHLOYeLYYw9faqPDpFW414booZtu/q0ek
OXGFifBYT2G1XS/u6D8sbFNPzphxi9Qzl95ppNnis8R1ci62dpWx2hzvQ3H1lzsLW0qxs4wscOMZ
kdDj0BgIETJi9s69bYbnYQVbUVHVQXgO6gQMmt9hiWieCLZgBUeGGRyKOuPCjba5eBOhK1MNVHK0
KMshpIgklLgNiYOlUES5ONFGq4T5EYEfb/OUnbQIuT8crUEpl42AXY72HyBbMAX4i+cbBa93v6J+
M5PAX5cx3kgoI0bZwxUQu8s2vYJmDe/DaJZvPJPpkJjb6Ybs5/YuQ6v+g6yZCeihyZxHfMb61aDo
6rY1g1Ng+c33tnX8bx62zZIUa8Ax4DRNTnDklieP7aDltN1J5oc1WVmfWxQOvItxVRXhy6RX77rx
ZfMNPqIivXgCT4xxNlELNbj+C8+RKIVBI8J6XW3okSAQ2Y687CI/Af4vX+uyjFwOo5yQ8LrT9wvK
Bq7KtTDuy8qXIraddnyr1qy+dRqRszNjyQ12NololMcM9TcKtOpH0LinRjYzKRBbl51qq4bzqwtu
VqiA4W4bnCHbyVli77dlSUPHSp7FjYCxeENdMX9HEzJ8CV1X7zujgpQ0coq44mVYjfNoVfq+Q1gy
xmhSjK+uucq7dexA8B0jBJALVjEeA0wDXyLaxBBIbdl0EpZy6GApq2EF9mmr1wEGzI3D3lGPlXuB
nIzFGQhsF82Je66sDpNtihV11TJcvF0RfPdovmWRyty0K1FfJ7jvvAMZdOUjKKl5ANYK0BJMHch+
6JLq7RRViONAtzuntgNK2dRwtlCss4m6ZrJqkLgGo0Z84U53wIduOpjgLD7caeoVXeTGlhQP1iRV
Ij0vum4MTbRwQOpxsgSVOMnAZcWmLnt8q8dKBTGRx9LakaLRf65Jx+lS5UYrsg+CBL77DFA3mTmL
xLH9Dzcvoueg6Np3yLZ+7xQX1IIjnh62Vdfkbc9RzYmIPM08lWRd3ESbG3zR3tgcRSEoqbBzb8Mr
76zORzCPxZWCGH2BzAPrCltnceNh1DLuehtDBT4PCaA3IReonGIFWs0GjSqssN7B1WywMw9+083U
gxcRQ48H2Tbfpo0BMs3NeeJaMiUqtS6wvkWDPcB9tn5unAlxzj6T3Nw9E8lPfIDTFcvVJKf1oCuw
KJJI4Y+Rw9anKq/vzW0qPw9dcJuvmi4jUk6hwNI5nABV0Qc+uCqCuSE4O8nxL5YJEUT2nd8wG4aI
2w8DoZvwtqN2P6JgI37K7UX+0rnAtRcCjVBny3CsdWfJ0jxETZ7fSmWTRWlvGQVhDf0grqeSTTjN
fjLN6doifdGfxvZ7Udlspbj4gu8+sbH4FOj4uPiLx+fcC7IP3+2zPUmKeHv5NLdLdr473RT2Up9y
xizKHjIPercc84pgyNqtvgno0S4eL38ISuQ4Wpz5ps+G4rXJluZTCTJ/MEuPhBcrm65HgbCCC9wP
r+oRk05uMiO2c45YrTVIixuH6RiWEbhlZ+f1ZyT+VPoV2aypYyk9kDshbD8dsm27qg1LnGffta75
DRsErmX5NdtKhdBPqWMrBuiryOlOQ4Pt2663V7EuM31ytjW+584Q3EN+Gd8tvJt/pCT975b8P9W2
/7kG/+zGpJv6n5bk/66F/3VN5ijhq/7cki3L/ZflkJvBOmsTSubxV39uyfRj/8s12U9ZXX8Gz/y2
JZsWSmf2Y/INbeuyW/+1JbNAO3zDgF0cLwOOhv8k9vBvSvGfCn+uD1CpwDF58LoXSOaXJZmRAeXS
NC233ewQSDaDF8e9g2F5VwezfvANbz1Xi+7q1DRr9aZ6Vz/XruRMl1E3vP7y7v0PyRo/q0Z/Wdl/
+g2I9bsAQSbydZ935NdXQyipqKNi0rf20Fm3ec2jL56CHtp70Qr/sJ7d6S3QgmDosQ3VsMOSBGCK
vTlwwZiD7luklHnH9yigf5rGesbGEVqH1fey78y21vJvECv7bwaCn6+YfApgDnxkZmj/zSHhlhD4
2P/ULfkBOUU+pCA8axdsda+CFcBBAzNUSUnBBCyRD4FAYY1zaEGrLYQTvfpWLJJnTmkIL0Gw1cMZ
toWJonT0arb8viru6wn9FTSgTJAORi8soVckJnhLWkrDv+HI0+3hnz+HCzLy+8cAEGcGfBA+1wZh
J79/DGAa0HyCPZSYsOilz5mUYpd2VhGLblru52UENMms5vM//9jf4b+L++OS+QRmA8l9+eNvgA2S
kNwVMu9uu3CzbpkZpltk7jjss+Lln38St89vv+DlJ0XEqVzcVSSKXPCpX68zwXNnG1Cg3SJqpn5s
7sfmkKlwtWN6M1NzwKq8c8w17HfIVef23100f0OmLjYXm0WGIEuS7Tkd/vbjsaOUwKzoGoOh9giW
m7z3mtWmORBSIFNosp4aWT76w9wMM5LVug++w7OTLxGt7vXiw5SDD1Vo4Cp06M9oq2xSo8N1/S4M
LRLTQJxHgSwOtqPn+Nv07+wl//cHhfWIYwPTDCsSiPHvb5/pT0A9XmbcWFPWvpfQSzmP71p1buys
ZHed56KsP/IwQpG8DVh3gb7LHWRd8EORMN3v1iIPICoq/b0EovlGQV8RnP/5I8bR9fcPmcwcLiIf
0QFRJ15wyZX55Wjzx7A0cW87N5WLyy8KExUV2+GSZkKZL1sjdtPBfNDt6k1kYhbBbrS6g7RHcWhc
QY5aM7SP4DtoloNmzl/nqu1Pq4R+EN4gnlGT0gmHH3U39VXFnqEcCMSskt3tLAwJ3QgzlecWwwG8
OFYbWxftEdVh82hX+X2OinSJmykYblU2fFKkOTuJr23eyHK1ORvcaaP5dA6r66bwwrfMRONU+KF1
DYSko91sFnA93NTlyQhHYJF5DbfEmj0j2arlq5AodifMsPCrrQqIUh6mE1mg9qehIOX2kAUG+9rG
hvcREV+D0KcbjC9Ti9pcIFI64fYWJ2uImm+lFmCZaAnqpzLKFjo6YFjOYzZOu5X3Ac7Lju5Q1S0p
zM6wt6zF0mmDMRBZK63Ow07bRZa20hnRDkV3RYacOsG0rI48aux5R2SBDwMWNJ+X1iyu7DESTx66
jcMUVYaNHbbd3kO/H1NpLtUGShcCGkE9vSNAm39gFBI0pdjKnCicsnW+XxQ1us48z+ma6yncj31W
JETut8eOf4rF0x173mh05nT2VJWBemDGANV7dFm6ir4mhxjrFllDneYXM+DD7IATl5JuGBZEMib2
jpojeVicYLn2odmbDAvjoFom//IiCf1WZIVtb29yNpYLxR6NHOX9V3ttK+XQlaymSZi3qlY4b5Bw
DNsBk5HKcGuUCPZ/Vi6aZB+eqpUaxN3EZ5AhWzTBthAQhWSqZBnPQ1oDwGN9irPN3dgoK7sD1gNT
PtZrMF+wvCZS175UDlfUnPUAPLuJZ+EeILPK7jS3jp/vKM6FHbeYgtt915RjFENNIUxIFzR8JHtH
VgRrluHAxpKVkc9QROR27ucmaEjez5gKwHzzdtuFm8eJ2YEETru2GI2GKXzN5T2aEZzNfV6GPwyq
ekszMXtbYVEJp/DWQydLeYsTqMCrdt0ih209SpPTDUlnXgSXpi29DftolF25Xxu/XY+mlK3YeTY0
+S5YvJWqVaJpjB0fq/1qiJa2GkRT7Mr8Zxp3iAhB+ifVda9V20btyRkj1VC1rfzHbVIOEnQEJ9ZV
ARxE0UFQ2IU6ZKMW3RMPY+cM/2fX+0nwCtJeNfmWhtayQdtVq5hv2hCXSWpwq4wgK9Z0Hh3Pa5I8
c/IpCfAxslYEkvmkI7l4+w4VG/moDBUKTEK6iuHEqO4e4btqYPOaqNMEfDdLtimr4Y7nUUSk+MyV
u3OwXm/Q9dVmXNE0AcgqMhD6oIgCkVpEj/Y0ulozbd+RWxAKyL+LrQhEmsuHxYBOrxJpFKo+48sI
q72SF8F9ZN9aG4mlLJwagPfTCtgw3foiWvuEZml1400AgIccYyBfECE1c/ZEKlndG3rBrgBBaptl
L2dvgwhQufrkVrb37i0ZsqHQ4uIlXgI3WCr9jVZKZDwVrjmHOLsdBGpaAqO9NfPMZFHllX6C3Jw/
xFg46AdnaoRCMpJRMoNqXmrGekKlulFbtyg0HfdBKs/6ZCl0eIBb5FbtFFE8C/hUW1ErhNAVwXmA
sueuNILopTOHy8VZVYM8BI0s5P2yuoqqv2HmsynmjhfW40ywrniCRS9Q0FzdLafkmIRWtPQnJaPM
vq9GvCePdgiuQH16NU83alGX4bNYl3uvNmhR6ueWH93324aEzm7Vhn0iuPzyl5c+cz7xupBf3Lpe
x28xDeRPxEXd19suqjW3jmjyunzoSFxCWjwxFeT8HWeqrbribrBcQJrYEYXJx02m23TTGgXqmtKc
BsS0uN8p19MXyJ//Z3XnN+IAQUp4mZNV174gLozO+JypuyS0qOa6QKP9Pnco5VD8VeujoxZTXuWM
udUVCGhdPYU8LQ6yM63bIcqHNzI0wVQJNCjtcx/m0XRFSCrKjnUMBiTA2KsBVXlbLwL3lab42rtf
Jon4aSDwuH6d/TaXR0TF7Q9CWS5nSDlAPLAHhE5a4tmiMtJvo1fDzNp9O4sckZXLMbeOc/FY4g28
QrlZeYlnjzZpEY3n8jgq7OhlrAydp43dcZtsRuZEJ7frreF7y4G8nkOLSyrFD8I1UnnIEPcIE3XK
Q2Yerqxxsn1olkZB1hUOWHAwDtUX1v/ok7Eypp+3SNGlifkLiLW1rEDjLbH5VguFXFiGZjy9J8HH
Ql8xsgbCz7RWN8saILmDz4jDQB7dFur/uM0XKyCqbbkdRFP3/U3nL+61oZC1pcXQtfoqJ72r2IWe
bItPTCLym4nLEyoxKKWO6wLAD8elDgeeAuvw1CCDLz9b/eaE8DVMYOuzUDgO+GbYZNKC7LT8bGRi
/ihy09AkJkm/PpV4oh8WaWTbYZyQOdD6PnGRQn9Uzv0Cjgqw74uLnF1oE67AKvDprUw3Mp0hHGEe
wg6cHTlOy9khZZNai7OMiW6wrRw2gu94qe6SB8maIdWj6w3x+CsCI+tTVYxcazzpoheu9Vbed1FH
UPZki4jMmLbABrBMb4SCzaFFn4oOnj307nMy4wB2MSQ1RBcOtHOi2825olN6j/k0WRzW5bp0VE3/
zCgK5x7vRuOfSOhDlQkma+Q39WiIOWklItiYaWxSN7Tp8vpHUnj2sgjrAnOoaULYuNz3NPDCGLtZ
Edz8nEr/F0n5N0iKw5DEFvH/1ht8+r68y19RlD+/4k8YJXKQDbASMnEgEQiQ6/w3jGL6/2JHJRWb
NTQieZU94K/eeB+JArhLYPsugIL9S4eY7f0r5GnskgpiEt6O2uA/glHYLH7fNiwSVFxUC4HtWowo
/Kzftw3UTQZdk71JRg0iLW1wNMlm/fpTqMWtOaSFYcl4oc31MZjDGymF/uzrangSPbE05ijP04oF
acCGcvNTwrWSgZQd9AUBIKfJeJ8CFAPo0M3h6IYZg73n2YxYXUBw0IPrlrXdxkZHshCKgpGHe0Tb
V/+MS8NG123UW8/ZXCshbkIxmgEeJI1alNaiCA8LqoSsrtz9tuUmunIxE6H5TPin8lh+uraxzkW0
+GyiNvh9GhSmK/dF49rirFwqt3mGk5BnXtIM1jVKS6Rg1jnoV/vFZQocqIHuLTrAlJst4YF889U7
TSU2xYwwsDKoPlF9w3gY43bSWMkp/3yvKK35lvsVh8hmS55mKdu6qWnDkkyRT2jjKINSvAR5IMYF
MSV+Z4o9/aigwRPzA3LMgK4ObVaVJlGlWsMEuPvY5r14o2FMQY6TJHlE9BCmsxl6byvKtDh08uJI
S/lT3mDV4CiqiLHr+mNlzy94m51DpWawXqLSjwzeFB/ivCxeMSfxeFl1eQrC5Yalm3Fyml5ljj5g
ai5CzqVgBtQR53juf1VLNvN0n99IYZI7dM0kdjtISusXMC4ogciqzvgbP/KSpcfJ6ulpCyeogM1o
DxNvqeEQuukFgudyUATwjN2BwIVHvZUvmL9+9E2prjbZY82v89utGLBlTeqtb+W51X13rMmLT4KS
CinahWO5CvQwgghhArDusSX2cW3XLwLLVYIVscdipb/7ZefftP6W3c9R78csYsyDE/XN0skS4tzq
g6tdGnc2fWeTnEZyIbLHHAs5D0ddXMMNjTchipA0IImINDgSOLtl82J0bsUOk1r4UU62BhRD3Qxt
tZyXcV1TMXjGY37RqXdV/j2jfeqO5p8nqp6hdlsmf1NwfvN0LI9d7fuk9lACRSs6UQmdN+1V6Lkn
zoViP452tCcz0N15hREdtD9/7726JV8V0X/G2RHXOaGNtJGVH71D37D2eLTkOVJYzI8y6XunjWWH
OMDbDByUJlSiZcDHh/byyfI6Msaa+sVoMlpFuzlupaBQQRmvHpsTodlLdS4Gj/Qu4ZY/CMwav0xb
sKssFVf17KJs0AN5ZmyaSFwx7Vz5vuKOn1BFJ467GT96+uyw/dFf48U9qHCejJWmWROPp3G0a3N6
XC09B0+NW4t737TbDgUviWoCfHVPXTJmhCAL5M7CFPmJdVrtlGlt+aHE2n3upnxsebgrfhoXVr3F
2ay+Tg0NHmam9T0R29ZOay4LWuUbKw6XZf2G69g00zxw1/Okyu5oKxjH6MBKS7MrMsyLi4xXS968
nNUPcppndNMkNOz9ZZqKH4iWoeYQf1PnST6xmG9tBp43iexC25fhckNE0ppXMHgtYauUohaDYR9M
rNBAYfMpWCvsJORVvVdkQGAPpMIZVyzycLHhRBeDk2bR1hywJJWxHW6fEXpFL0GJELqpjHduqVcb
J0ncMYKl7aBwWA7uLQbzOhkbJt/OwN4mQ8x6tihfWhTJBP0Kr7yxx1VbbDKbkxBMb90PbfY84Bwj
eDhyomvhNv3ZigAIAkdf66kUj+iIjSfg8uDdbr0yyeuI3uk2Qvoz5QW3MXkUdpr1HZUhzWpiO1v7
FJcT4ndkrjSG45Hl+3T73jDpXb7ctTVp7Q/tptnFBiBgg/mZpUbfN4XLILfK42yZBSOOol5lCLeQ
9d3vwDDWt27qvSMFBNHX0ZYPxDWwKSILxzwSqs8+Cl8WCdNIbUef3AbTZz3RMBkrS6gfWe8S7mAo
g2Y/r9iHerKSjpC1VPQLiHYOJJO5FucBNeglQVt3m2Hqm7UE++rWKaA5d7HxMQHM6MCeYFXt/FBE
eC1IHQl3UXURTljjAdh55AxWN9DgwQ7nLUyzTaSpSTb1SdUoeH08CHFuzY8TURBxHfY4ZFxM4vxu
0XFYlgPptegi0EDtemthlPej9utK1kdqXiRMk2UYiZD1kIDlsWNFoS0/RWUVJU5Yr8lw0bhINZwi
I2K+NcSPZQie0Zr36RbN096U9HLPK8W+hnuZ2Lul2E9Tu5yNevim6+2mUdlEcDuj8zZDRENOd3f0
Y5nXJF32Ka3m1X4ulXnaPM8/GnSfMmIjl0G/XO7CHNmcAYYbTzVd0Lh7Oe8GHwOrSZM8rCFmLvXF
JlXxioKoLLZWVFKZM6+xWCvrmmtAHmTpUiFe1z8mv4n2i9i+5CiloY4jzrJq9bIbkKCMju2Kox+D
6AcOgHln4hi/z2o72xXakih/iOaiaFnEvpm/9Zb3Q0TDd1eVzb7xGBj04r62uLF3bS2HlybkW22j
O8ZiWtQPPPro72VVo4onByaQc3FPlFz1ENm9OLFYbtckdfI2BDVoYwYepLm7OKX0a7j2PDCU81SW
Pk66nPZvSv841/2y+bA7dP2XHsrT5LZkAeuA2AEqtmj029pr8urnlJRad6ed9UOivUd86QfxHPEa
ZkxwqRkN4Ys07e2+diRqm24jdiMuAupGecMEL59W6OqN275WN/RrhZ9oYOZrIQGeRuQsfrOw3jVR
/jABO97D21ZvQeU/eb6PRbTJby9xj0dnCnNntxSVSD2Z8UYXZeE+R16N/MvzR6Lxw9TdMrJYBioM
+aT1vBLNgyuj9DWx1nlvo1pZOi+hcBOPqLD6O4089GhuS3AE7wq/zLWE2zeXr4SnqTtEoEaVal3o
Y8Xmd+e1vkakia2ck1UoTbbguotsHV0SCIldE2b7OCC/fpxZzEz8jtpgxLBBuz1XNj/kCPF4uVFz
PlPIJmiIYPQPqAY9bpnOV2Q4ymgDYLB5zK+584SwHUujMq8RBFWfJcLfjy4fzs1cZFtS9QUYY+58
Q06DXdkv7a9WXhntbkPJRsdgOS0nAfeCU7Auqgm56Lp8NZuwQeMyySd8WwM9nTK40YXRHKLOv0ca
SGk1gGGieRwsRxz1FZezr4NvWR6AT9oyuIuUV7560PzQE6WXEAPdpF5JZLwgWBhvCREFgHlO/4hc
cSwxqpvydqlt6jrNDMYuUGLKET+E2Nr0Ite7LiyBwSzSX7NgVnsrsOyU1EB5UKNvHCqvylpCNZry
ldOsfuURN31u2CWf6kplR7MKypPpzUy82eCfh04bdAwbuErJwpubl9ymcPiKUG9ESFsxniPD5oYo
zLlmuW3Q2aID2RVEQNTx4nYC5Don4dqU44PaFvVqhhtx7IgRj6HsoyuYCHWHNmV8phltrLn/+opo
1oGM+9aDvmO62l6iUeEkZ32Q8yf4CTsiSwZhI9YY4aDLaMSq07LifrgiUxH4NkTN/Exd0+Z/zmuj
3BIdLjxZSZuLuBHHRcXr6C956tauf0uGeoGgEViOYWV6arYOohOTlHHT0OL7lrVetx+zkJCIdlua
E2ofM6nCCqWx69ZGGMt2bpF+LdmD5p8el5bjFVnFEywG5q1umD66tkPqWgTV3ldbfoXp0meY14OC
OdXtJwssN4bctA9z2NbX+DIGKkwRRff50OyEsTUSGYrw9rPVzQ+Niy0/8TZ0OxSW16murOm67aDM
XDy+SKGW/N4WGGUew6Aa+zsC8BYvQRZlDn69gyWzGRZaUUSrDDHP2jaQDeNmGU54nMDE3Kde5T4J
SAx4fRhgd6yioo3iuaIM+qohEGPnS5J/GrrqxsSRBefoEjYLo5PvHFXhe692iMAw2WZMbsex5l78
QIufQfIhn70uNbGcMZfwWKV2mM8JCJMWO5pA4A0LsqKutTLEcZKR9UiIC7uANRiHjbCLRCu0YJj6
xAmxX5WAhpfXovJKstOm4Ec79u7XP6yoIwRfdVha8UnWhOq/IXkA5XcjRHzcjyBA2+YlPpah730o
8qM/tYzgliqM3VCOwctWzWZa+pzOKVnP9V7acns3GayvZszu6G+b2z5A/tXzbc8/La5ClOJzsbjt
I/iwd97Q3u3s1hWJV1gO/lI6t1ISLBXh1DheTSDlAwUL1m4cq/7WJWkkcXiNz5IpMlXLEu22zqrS
nGcdw/lAta49qnRqgpMhOrRMLO6PKi+j/Vib9rvnLu6xrUkFyf6LvTNbbhzJtuyvtPU70uCO2axv
m13OpChK1BiKF5hCysAMOObh63uBiqoYsjrS6j6XlVVWVkZKBEnA/fg5e6+dsDKlBbkSTlSE2ygw
YB0Ulns0IvRTWNjCHla71m1TacI2CT2su9UNYkS04Q2eWiXluCtFWlJKAQEiks4daMub/Zr7Buex
N1jrckw433BTgneOIwJl/YyA25RtHHZ18rmmpl8UyO12WuQbcHzZSfLezmngzsJ/TddG8Fe0yMkH
yQj0crSbi1cXeeuupZV3jWg8X1pBzuDp4txFTxv+ibHRvPZ9EghAeKP/LDSe3ZqFv1V4F1LgR1NF
m69Kmo5Npx/PYaN7p24IEuBqkb1L0HKtZQqfQa+L4hDp4tZ1wXbXdT0QMKeCV4YpMaTm2buvROme
Eq2Erp7pyVqk6GHJATBeAlwlC6OHfYvoOsxe8Dy+lAYUwrBzt6YFIXdRqO4dwXmNgEqf9nDiCALm
4Inw18JVOeSohMcENXXsBIgCp/QV+2g4p+qB2MiHT8rlEBG4K2b973mcfro4kFPZ6sWakVBSLAbD
WKPBkeCcPf8QRzVz+HqgQRno9pKaWehLLR/idF3NTfUAJeOxsOOcu6V2toLe/lJWZnRErZbc0n8A
7NSaQ+uuO6V36Neot2O9A580t38Gt1Z7D6PJeiKjeBcACfmzzzmixU3c7TKzAd6slfKMDpGOgKre
mnBoDrRY4W26xIoiD1rhTVd7V9lgXaSWHKSTdeeLVzqIyi+c1yjFEIuPK3OKs33eKvJoAgZxz13j
w3jr+muDVv8TpdRDpJHB4FSNcxXaRr8sh4nCsQj3fj+V9SJstQomQfvZE+V1zyxngcruCf41goPO
NGnSQ7/qMXE9h4PIFsYMIsfy0y1l61sPAGwx2kyJxEEZHgkbe8G9W+/GOryvbPEV6xf1H1QdBrbM
2cJCvhihINery833Gi75Sg8qY6W07GkgM+qrUpADNgF42GZB14PiG582hj07u3PHBmktqccC/oXr
f+4IEWTy0nWoDr2xvwMbOBXYIHyfthNRIxurNseI4j8TnHEGiyQ2w7vLWbAY6hsYNHh7voNUEtmA
xpOQrW09qQ6Y78lhjoKBo46/4qtSzjVjCHXTMUxmfppoxUJOSSQwdExpvu7ge9frVg/VaZZe7fkb
/ijJ3a8ykHdmXLB4uFF4QPSaHEaLzVUY/ZufqLbcJrTs14PdQjjH/w3cYDgAq4YmpIsnxPf5Mp29
CK2ce4EqD5aj1zK9FnY3PxNUeZGwttKiEv4wtsNZ6npMmO3O6crPgTsdBm74ZQpgEZKPdo35l1on
tUrCspyDEl2z+e5/x94/LEqPFn5Oqb+kMpUYOctjFXRnL2Y2gdR+1WJ0XXtDfi5NBdk6Gx1gT5h9
vrvjHYSQN700nyNh1ghdNbXqKxtwfGrk21BXwToqMrEbEJ2uKqut93kT6HQu4L3oifX+3UHPMDRa
hsX4OQlw/UtyVYg3qaIFc/UvvtWJ+961EiRYY18tL8Z6q3a6e9Y+/Ba2hWsaYc+hKmlGQdxfCp9E
INTfGn0WkPrrSgdY79n5NSoAhhawGpCQAZZv104gZtiVHiaHkv1ReFOBW2RUr7UAR2MRLJmtEm2a
3pBI+cNSjIn2OscI3Th6qu1iNjyU1o4z7FzIzkcn4YjkeG4crrArHCqiytdwmMYv1Fk8WoFCURML
96aYzf1TE7ZvWmR//TD4e6FWH0ra0OdpAKxmRQDel99N/lKG5nSqBrdQmGP/afL3GkOtponZ1IfT
307gDygZ5WirJjwbkZIh5wVfO6GCt7oPz3/kdw9jYD1SIVgftv+gHJsdz8GIQgnvf++5T71rs8KH
ubwPQP0t4RzduKL2X7NhjtLMfHf5AQNIOaRrV72kqDleiABl00H7Mr1m2FywAFUc2e3BzFl/oL3o
Kt7+hRCQEB5GjvlEwBPeOFQfDqqQp0qZ5VVZugzAwgLN1wLRi7cdVewvR9aFF7sYIJj2iHaJ6wJA
vnJBOT+3CZnyPMb/gingcPeUS131zRbafHScZtfMig2LIJ+qDaiY0KGDqMeewzY/V0KsMi8/wAaS
Nm52CiTj4kfiQKCl3ZK4uOHealVD80lPlI1oRye9UWreEzak4N0K8QqvEOIHw4qe2ng3Jt1AphgP
2voDP+DUHLxRfqdkSv3EIGBEcB41yvqJhOSDQv+8slTbb4PIL8+ApORzTPzCsLJMFuypssRtTc4P
UMLvlALWsuI2hc/x/EEqAPXckiXiudfVqDXPidL0k57141ZCovU4vNbGubZc5+5fMgya2u3upTRo
hg4otAFp5iyri8xyc0nNGIarv6IMUGcE8YkOP3yav6AMKpWhXG/Qaa+GpL6dgtrEQTcquTZoQz3o
kxMcYpOlEi/b+PWCOfBFTaE22URkXlgHoQcyBT92VD4T11Rseo1dN4DnyGbfFysOO6A/YQ9ulda7
OlEr2VWF5Gnf9XqzZoqZHBVoTbT4jtCPxVT0j+T9NMPCHiACh1pvLgkKuPBlMLwkpTpZY+/uslDg
M+8mte1rHTGHQsKEj6tvri/gBLq3gJ+IkXjQqe+OVVH2mxaO7452Jk4fTwvvxjCGaDUjFAZmGctA
1dl123hvWifEmsXJ39kh6vgLT8HreDSMWIbrqDT2JH66t/lgD/ueTK+DrTkYWG0/XZkNp46WinFJ
v7k61Ch7ri+YBdSsX3J3EOuO4e0mdsdXAqXDpTSJ+vDxIoUL4Wf0yqrxSYsMkMIVJJcLhkEDrbEN
yVpcdt9ZDEWSo6r00KaFoJZXswEdMmRBLatP1UuUmkj+m3DajdVgT2xkdXvrOgV9YOGl6eoHRMMY
stnEKKkS+lldctSckrEw45vvrAaRuNPCK6aTlUz8c90/18Yw3vSE1Cxklzx5tfxkBCzWlpavI9OY
Zqncq5dX9gLwAtiTPgxWF6RD7mjFRorE3PWgGMwgvptc/IcQEqA3t/q0CILpxoAptEjj8hmxXXxr
By3oSLKiyrLZdpPZff4n/cHQhb7RJypkIA4/ICAyLy7PfVueiYZOoRIXLlu7mA+CYarduAa4D8bV
4b7MdXk0O+3d1Jz2GkAOjEHWfybbMyKCVPBPTY+GEabksVNq2FfpN2H2f8bWfzO2lgiRfzu2Pv3Z
vb6//ji3/vYjP8j/0dVzD35I/Bkzf5f/Iwv+7orXdYcawEaBj4RkTkn9h97f+kOfvfSMqU3JIASW
+//9P/ALgj+Lb4r6D7zB9///vyhYb0F/NPV//W8hf05TxIaA9JmXoW+O2gycAhf0oyo2bKBQgKcx
rh2/dp7G3sSkagitomKHZTKGWVmuBlUc0E2XAudrSe+ctXbd226KpasujxZaVPnJCqeEg3uKd6kE
SGwupSppjbSVOT4Zndl9apKsWjXBiHUT9OOw9DoIpwvV0JAabIIRt+BrxF1LO/Yl7/zuZqqQlwLE
yPuWJ7xymK76Vb+JMhM6fxVn4HYThjyOGput7XGJFB4xuyOMQTNm7TOGW9Akjr0JgckEO88UEy1F
OCBfYqawgG/GJHkvHa28AZXb0dtFs3qDwRvtMpMi3nsG4AmaH3hQZ1+MlTltJtGSz4U0jD81cCDL
Aw3e8ZZgvHLcByCjya3IxgErFRdYAExlRrsoStyHZ+mq4uyZcXA3xUl3U6azLM9JyaFCxEnaT110
27ivnB1M2bxcxmYBOi9CnHxbuW2SrzSTxpq6xvj2yMwe1TRFs69j/dv5woraLXECgeFsXYLEAtZg
zsc6/rOsyoEgsnyfDKruXCwbYvn2xMcULXVaUIaccOBv5Ng5wAVp6fBcK2boxl2XMIeoDPBUCxcM
Qjeckg8laHaRhaqCvXCjLnLR9kM7al2EpD6mig2u2Vlfan2oTUuEns2xRm8UroIPTape98K/kmRu
+QxZ6m6+cZxpNw0xWG3tEk1Ndden3aH5UMeKb2LZqq5RKWT4XWVfi0/Bh7J2+NDZNv1FdctiP2tw
/6PTyZuoGf9mwTM4reBG+P/rdJ5fa6hNQVPkPy56337sn4seJA9hMPuwCOajeYyR4wfPk2Mg10Gr
w8L6j+XPY41jEOax2tqQeAwu4dvyZ1p/WCyJhmdA8zBNwdX9G8vfz8YF6GO0RiHWk4ODSEf+Jb54
Kqay1eqWCWqXIlvOo6GFrlA3ECbIoP78wwfzL9xMP/sPLi+G88BjTkK0HG93Vgz94D8IrMEE79mY
51Ab1Qs0JPkwNp33lEQMDmgV6OoFtY356nVxtfsfvLShs2dg7LL5UH9+6UhLxNDQUD1PLJQvOclX
eLvGHtGi09rigcgndLe1XkljWbNoRX9jEJl//Xf/0PzOHWlKIo7Av/DF/fry0oiC3ItT45wS4spo
E+QfRyq4G+oQFfPLDTPK+vdv+S+p25cX5VYx2T7Z5C4CrR8+7lzlfhsoT56RDMqHnIiZvUS0Qswp
8pgn1dC4NcExRySntVW9DZu2ebfnXO5Us/kcSrugNHOCeNjVhH7662mazFebCTGAfRAB4qpTPrOM
aCJofFErkXF+R0RkLH//Pn72Xn18drbhMAGWlqB0+MVQ5vau0QI1kWfRcixMsEfvh7RNho1bD+Ih
jcbiCmhf/f77V53Vab9+Y7bH44GAhBf2frlhbA1F2GBV4hyLTjzQkCZd2snDr3o8cK4U03BnmUqc
GFmjehrDNtr+/vX/+mA6hoAX5BA5yn3z67PSeR4YPqIaMBzaw100PzB0tobboCvF3+SACRaTX9+r
QXD3TB/iBclq//nhAHrW5LreirMJBe5Oo32RbLpoTrxAbF6/D4lJqIBuz0+njudBObNIXYud4TZO
GGr8+28c1BarpZghRb/etRLwqlfqvn5um5KHxHT8tDjSXNBnS07i/Q8eEodlj+eS/zg40H5+70LF
eqQZnTxXNYdi+rMo403o9VetoxdXaF1M+rB1QUcl4i73Unx4GVgV+oyx0HpmFFNxpdndcBegPsFv
oEtIrUnnrUVjD7dh2CHWzceYp4xz/tAfvBAn8+b3H9klveiXm9WZvXs6mlID994vj0hMxjWAcE+c
fT/WiWR0qmp3uW+GJlMvVZVpy9TtWfdGPsAModE6iCYMI/XolTs1Zoj2o8Qs0+3UT7Sbha/X7wD3
h7vfX+e/WAVnoSoKU0hLGIB/uUyNtkdno4s5W5PDB3L5mIWq1IvQffFQpqRl/v4F5x30pzvb1i3u
avZccmtQw/76ilkTyFhPxvrcA+q7sprMevWZMvEX0jXpjFEiU+MxjPQjH3243sUAcHoULfdRS+gK
WNixeSdTmztdZwXQNR6CiFQ1Dp/cE5ePqGbXsPGohd6xJiXiasTeeNTIxt1LOgGnaWyLq9+/K97B
r2+Ld8L3bHDnStMhP+vnm3ZyE88pozE4F9wlpCyMU7WKHS2+KY2UlmSO/KHHCdlxspAW4N0lgQJ+
uPHCgOFJyu/WlyNhWEsZSw4zsx2uI7qh2YV23QqQsAEDDs23UCygIkX5o4e99sj8IWhWulMU1aIP
xtBaQkPDg4urlCcjrvt2zRaANQ61TgGiS+VnYjDDK7fO4qPM3OLUxT49Creo8KYpmWqfMKkkN4K4
zjc9qcUKoSYNMTlOkKXHoQvfR2hY9qEZw3wV4S0pDqQmZgbpSbG6LfUQyhRDRhv2U1HrKwvjcYkx
wNHUU5uTWrQyfMe59yAN6AsSRRN7UcmuJJ7BCiraIpiUyepupPul1Oh6L/OsbhJK8KlB1tu2ZrWX
5Rhpe98V5lEG7Wz27fyDjr3yfuw7gcwDpkl11mY/HJyWJrdQsUg4VVmICe/WCbKUGR8GJH8FStV7
CsKWbTfhHnGQiAYLG9TXuiQ8gjT2FK+5IxqMAllhWa/oASkTLq5fSkAWYjyHA8DhkR+D1YhFxDdo
KLugD5lSCqjpR0ZiScvOLGhwKQa8re6ogxHo8XhtG0V51AbPFZtgBP3DySca3D1C5ZCYYK95c9GL
ImiUoQ7HIa5I+8uCUyXNalMBFQJoRDitrk+fRO1GB4naYYVTHzQrSFNa7rOLyJP+BvJo8TnzasLf
iSZelLYK37lRhj+D1o8bzHpBvtJbvp5l6DdglgMc3pkg3YAbK9OBsfn5MKDP07QRikrzbnJWQiYU
BepBs1wyKrqc4F/zkOcEgj84HLLIeB/CdCwc0nIyVwNoMYIJoANvWhiU+F9kUNJi+m9GGoE+0N+J
AV65UPbVJ0D9tsHlJjHtpRHvlrvR9Ln4mazhDrERn3SudcUVzDeKIVZwbNFuP9u30l6BiuWE/DgQ
zEgUBhzUE/MKvEWdQ1r13HGLttHIXQn4ieCdDWFr/A7Gu+oF7x7frC0mvlQEp9pS14mF7z2MJIz/
mLfWpLi8VJGJsMpxp2Y5jbb56ls9QdeRTr3apC6rUdZbpNxP3lMvZf1eT6G5t1ubhcdkHXLMzFtn
FZ6XRckT6i45f/Prx9Li4jhxFFeUdf5Ta8MKTkZSkzjr4oPVZ0EMmjPv2DQd6zPLGbK61PSyAH9q
wz8JJmbPC2x84iSRRuKXdWg/blyLD6eS7NSLhjzvelGFIj7RgGeJQVXmHoMy846eUwx3hO+xqUca
K+pljaSGc4/EwvBMxGXF5N2t30tv/ii9yhQPdd3yt5erzZAMxExWzeG2oOyEYmdFdB4utQjJ5WZ1
kyNS2AUBzrJ24hvpTCrDUfbiAcWYt5YSP1cLd/nJSGP5EPuS7bkZ8MCMc/U4Sj57Qb5vhIadqQPe
oq5+R5M/3MXz39HBRQAfxFSfOnz4VzdlF6WlVL+rlN32YgaLCUVA7RbV492lUJiSErMV43L7VQ7U
93Gd8tWWXMwg3fjdNKCbLSPHoCtdzqMEREFLu/D1U41+ujhyG/Hdyflq86Jk46mLalf7XJEe6xTh
RVF6a0sk6gVBObv5mEitWvvSo0qvJ2xFXWGjDyxrbFOAzJm8L4qixxhUahUag0uBw3iY1JApbt4/
Dj/GXPqMsTdbE63RRH+IlDOmx8QA9rq3RvcYoht/DR3IhVu2HS5QSWzIi7lNFa/x8vlfUi3kxfPL
IyR8C6diN1RzGcTOA0K3P7tmX7/j3uc7Ur5Lccf/9ZDHV+vctFjbivmokoRZtBWjoDDAXrK3+aaB
HxjOnrdTXKHTs++Q2qEOhUjD1aIKrnZ9z46LnJ+6HN/HSUdbh9jTbPnNCCRph2FTba9VH2ghQwif
M6AgE53QAVJvjDUMLy7Gn+PfGmQm/FW4Hh6EyHmIExedQlPq0daQHvcImhDrFaoNnykhWrz/yyKQ
pMZwN0ZklwC7i7yjPVrGnnAFHjh7fvmsx2UJGZdyDBnxS8y09MoL+FYp9yGl+wbfaiRrF1S2MX8O
PSUodjf/SZstlRdzIio8nlcMmYSIR6jvV4HFE19VNVdyuRPNIRYoiSKWAAsa57AWaLgNatoSb4w3
+FguXWhF/iIuTZYmcNXlLquE9xShn2Okx3G0XjMhoijCdkYNJPsgux/12Ho14lg8SM3lDECjHtfm
4IqH3pjdzYZkagOJMPZSXN+eerEDxYNein6A4cw7ZCeiRiYxBx1xUUWop/iwJ6AamGcNHtGAI2rE
0q0vaMCKh7bkHzK+5Gtp5iptwiILFXi+Oy/b5jhhVl2pFFu44c54kMlS3jGXxGzFrcxWmEU5ycyf
WqW6wVsBrU6nVTVfTmjzLpLIN18VEi9jmYcBJKwk57GaRvwbjjHh1K1RfC+sOmA5ihIeLmm6rI5h
XVloP7jlcdcn/nAXRr5tEFzplDsCB9FHkDqeWndAwpkl57gZUGdUuvVqEnAZoX6FHpIPOsdWElr2
SVlgKPE8t0+xotj8dNqGsrwXuuy5RfyED3qaNxfil+e1b5Cxti0CwSJPKRLMR3JG8xNqSO6Jywfw
sRbNB/culqwL88JaBQ47zuXeZYzKtkYbtdoNTjR+qdiGzpf700Soso1pBGy7HMPftdO63CIE3VY7
00q6QxiMlfvthkCQ6H5VDrquJT7eaqfFuQeXUOHOBe7xcLkrbPrME84ZUoBtM+dBnvE1sTV3G5Ja
IxcGcDVxL40FqRqcWgJ1oJQ0ISornp2X8xvS+oy7j/l7uqwgKdTbkUKoAs0oQaGYvAVuOfFghXbR
r0Qa8GRBjWSHgdCL/Etx07QgZJ8MIxI3liOnMyd1bmpdE2iXGgxdiBl5vsyEvvyq8IFvL5FizNt3
E/MpGQgGaQaxAWFBCoyxX6quYVGg8UuQS6m5eC7zdr7auG14zIxydnhjzxnushE64YJcGO/JG0YK
P4thGnrHjhFqL02w3zHN7BmYqqnpvhMuuVJN22FpFnWMl/liiUazz1VYbsMr4HzibtcF6dAPjdVS
hIBF9550gJdbwqvm9+t4/a2JCua+dYfsRhrWW0hKIqFHcb2z0nI28fLs4O+OvwZMGBaEhkK3w8hE
bFgBA9YY2B7jSLEjjRGaooaWp0eFMtpPZA7zOUeY6BeFhUVuq7WxsdFzd+wWsNJhV3ZDto+Uiq8N
Ouuwewor23OyH3Y5w7txmSqVI7Q3iq/eQE7ZxoaUfmtSZGLqriUS8GGoiZcs58X/gIiTRiS8Imqq
1oRMR5Bhup+hBA8MZ/nqytTvtfsgZpS+rDLFX0uI6ZD3rWm4pQPY45joWXCwQOPY7ahxsrmkK0N3
uCP475LlSjAOjJury0E5SbkLesObTed4jn2yOLg8f8Ion6DR71em33Olw2UzIS+dFcuKigTLlMeS
lHiK0Ip5DyeR3n8iRIs76HIwDAhPU4c0JcUCXQRrWmEPjn9FPw2WYFh4x8gLzH2vPLhOg+U9CYDm
73LCmIdk2NxzBuN7zW3J/okYhLs1C1itJkTjDx2vvLysmwS8sjh6bJjrscx5JtK53pzhLsQDoJNd
gUtmjSZu5yVBsb8ogA2+ViWPEOkQFKk+qjmtsDb2bC0k9xJxMPzKMNxJUgD+NDsb+zuyCZ64C1wA
j7x31D4qjJIeicbOnDFeMfeML3Rnz4FtaHY15xvU0G21xaHebrBFYmpx68Z61ZNJPGDcomVnEYKF
pUrnI3FijW0DewAnicxmY7G70X4I6VjjBXCMvUL7eKqmYF4OLiWzpWdf7UAO2IzyTN8ExJ65a0J5
5YZXDh9C4j0fB4jJxxB12yPq9WRV84SwOnPaIbcUySMaMTtDkzoS8nlbaahiUDh5ubs2KmPYASPU
3lplWO+x1wKqoKrERzjUlNt9ijbBHuWVULV+JJej2KY0Vz7NLliILr5PgkdZ5sQ1lsVQHixjiE6R
o9xVENvRc6aa4B5STkfQK178VVJb+hZc9XjyDOU/hpqTvBXlyG/CRhfVVMq5F9xOZHET0aoHvZi9
BbilcOPbL5e2wn9G2n8z4QHZ8tsBz39XyWte/+zF/viZb9Md1/vDNi17PvibNlKzH0banvkHEirP
tmnTXFh3dGq+W7GZPUMUY8gjmRA69K7+MeE2/tCFYGhA44oSZzZw/zsjHvcvTmx+Gz0dyxGC2RMD
pZ/bRWVUSlNJCg4rdQlptbTuVOUNBEk/HA4gEwAxIJQiFJLO1zvlr3O06AayjAmMZUXRoiGrlfYK
5IYIL8v0TlDojAcbyBNNDKC/0OFN5wTxs74bMQ08ZIhWUZLi/80CW3wuKPLXaezg4gXs2Ix1+aUD
NLQb4DSBiYqhpy3qVk1vuqIOiPwAO5CP/+S+qol+Ia8Ei4tjMGs3arapJr8uLBktoQARcRFn4UF0
NRiRKGMDz1iQVlILnENWtuTy+ulwg149hS7hesexDjrOMvYgz4PWekQ/J/q1GCP9ejRGDcFoYZQb
6Yh0KwoZfJqBMScYErcC+em1zwY06aBghI1IjiLJI4G8VMZXXHkzU2rEii26XLInVc2tN9ITovw2
1gbKbU7EKSNqK9XVe9/zIiwyyQIzQLrFqJc8lmYMRWRIYbxCy453JG8zFzd7ggmdkZk1FctzAUKa
BJiwPzdFNL2h5h0/kbplnAMyn3fGGFdYTeLhzBiFdZXAoQ2RiO0VSWPll4wJyorwN2ejOsihjkh4
GwHWNTPJ012XX5BqZvuuecZccI1Lw1NXMg8AZGnDuo0Q4yek2wKN9a+zRGUQtrQ9YT0J8+xieja7
qtyWZWd9DchMIteqicgTNfstsw1gpVmY3YoJxunG0+LkEBLYgclqitsrZY7xU8B54cUp7WyN5FER
W2j396rrywfPN6PrSbf1a2RiA6eLyoieQQPXR8DQ6b1ZmGqbAU3EPFIW+s4aUodje2oY52l0ousg
QLAwOg7mQ00hysMYzRElb0oXeBV+VAK79Vt8gM6hCBrbX8aTmb61w6BOvm2nOxKqjasZ3rvNlE1A
m+tAe1VUJYi0rXPmptNu4HxxYqxvXMnewglGuPtNQ9fnIZ4MOlNZne4zrd0zh5vDJHPLPclSSaaP
wr4uAxPwiEjVDhkiVgW8g+mmN0PrJlX9lQx7k9uRjoiG0K4Ng+Y1bF18j+OQiLVUvvNaGv2fVknh
FYyKruGYWXQRfHPjoElYjU4unwwzeRt7QwVLLTDli+PmD0VnTE+QFsbtpOf6uQht/CoDJ+GDRVwt
aC5YPydMj5ZY9ppdvgJNiWlkJqRBmIbhvZHAEm7zjh8Kpih9xIWQ4TCk60Cxml3FAV9iT8FNL4pY
UNdMs3vHqJsvhut11aJJxANjdCizvX0oSAfKkbBT0BAbsIjSODljUknvLD/d2ShKD7Y/5XszyQiR
UYg1WhZLaJseUAEoQRv43OXKqdEa0jWM79iLzT8nYv8gI8d46MNZuKKs5JNDtP2jkyv0hzLj2IHG
FXt6CPy9RNtxq1UD9C4bxWzVwdf3vI3VxNnWr3v9mrkCnun0DFS9+6T56CET22AgqAcGha2r18uU
8/8p17vqzWhGrgQIc68PDs6dHvhSysAS5IzhfoJ8WdI91pm5IEOena/TGNzAJEi22tAAnBpHC9pe
N9hzAE5PK9Yf0SJONalbRdu6aD+7x2Aa0XemFJyrtArIPcVxz0QKdsVVoEp1Pea+vhZC+xRLcOmz
IA+EUOo5C1YAnXZabi9TLXom3lTfpzoRV4UelwsZJ8WX1A4nbIShd7YIitvXtTWgiWUicI4aLVk5
DpYZYstebfoJ21i33Fu9nn3zihDQU+cW+tL1swmPrpvaa2KxOfewa5wmMwyfKxdDCP7szx5M5R07
4kQztcYNEpgcXro+PtYx9la8V4ym6LrfNrFfXsd6X5LVFaXksWZqjZwm2AiPoMdJhrOXtDSeE9hS
Oxxvxhr7XIHIKZZ/InltaVN56tXEg8Hm0k7mpxDJzmMjRZcu7CjxNkbsBVvCJ7FKjwEmVuGHt4IB
DgJuHNVdUA73estHn5NssRrHRq1r+nVXLkhFlLZpEd4YTtxzo2EV9jTTgoett9OWQ2K7RUDR7BNv
Uo8pB+qI8eI6GX1MtgjC1qrrACtj0ZgIxNNgQ1rBsLHLojuJLpAHTwTJZ2ApxA9I2110gu024hG/
qjGk7kBoDrAoysp7Ae4QrbK81z+lfuXvWJnwqTRyNUrbup3aWHtTpoPmuXG1DVm59Y2IOEJZpuZv
bDOozyki3Megd/2N0Ev9PuwiAhdp9uLwIFMZdrdTnaqx/JLXE7H0U8vy31bNRLLaYAZw/nqxArBE
snytXVGmyq5Z5FUEAZfsPivD6sbwIWJFi/QzqUoVe38cBw+tRSHCYZmY6GVueM25xH+4KzgJIX9Q
DvbeqaZtAo7cLb96lUr2XYpx3xx67RgR2UzkdXbbgdjbcQR+sSormOc+YKSBI7VfksZ+Ib36Vffb
r046vbg0m9HGE5U29YrXK7N9RaLeuiqjB1kG6gBg03noVCI53/b5G9rA4bny+cEuh6D2akdjUyUH
BX9Mbw+qrMuu2ab2UE72NaUWUWsLSHi6BaWraEwCNaPwOEjLIYNuaN1bRtejjf3X/9pGo+Hu0q7n
i9PGUKqNBmtryfACeAlVzzYLVXEdqVIrXhQLKLWX163E4CebMhmD7MBco1rVfSxXFHmEuQDKPCAf
d14scJOfOT8F8a3PGOTKCS1RPdDLDH2mGGCr8uVQ9xzpFkFjxe8uYF3t0Sp9XHYi7HwibzXSxffl
TFHILzwFr8g3nV0/48WGyDIE6Uof+SabwHwm4qrf2fQHwGw07Yl/c9h4qUM5yZk9qsxj62G3pLuC
YTgh0/2JZFVtRy3ymE9hug5RXh7YQbT7UIuC4+CkmLtzMZ66MChPFd8mER8kCYVR/2om3nioPAyz
tam1W5EP2NPbudwyJtkuPMuorqJon/ibxLHHVVf4zc6dQ9qT0o22NUnK5A2ZMCEYTsalFuwnM2hw
G/s+xlkZHbBIHW2RpjDZhDqGPs6AMXDKz61hp0uyIcdtVHYRNrTaW8Pm9NdVlBYYEU2FCzVM2MgA
eC0tvuZdqyvJzENmW9g9+lc6zZTRKmG8FiHxNsS77ea2+1zrbe7Ub605420fSU2g4lhCeouy/8R3
faOP/90hDknBD1P0v6R3/XfK4Oz1R4WeuPzEPwR60vuD5pFrowFBfGJ/j+7CjvMHQAoBa8uSWL9t
hELfTnCO+INRP/86A3oLucqs6vp2grP4I/Bc/KlhIMvgfPfvnOBmtd+PMgYuh6YmRhSwf1y1a/wi
RnKdbsyylgon1CcVf0Wp5xuUGr3UyCRsmliOT2hA4OLXo5ES5FGPlvU2+KnKj2CmilJulGbSw+IB
0bAL5J6vk6/qpkk4PFZ6pnHTVqayJ5uIPawxGjUdUNuOqO6WiF6Sy1vQkciolYNrVscL8ohYjKFK
Sl8a1YxJLrAkzKalMtgaNd5LazFEsUViHr5/jX0m7+IZFYLj0WfG9cMXefshc/lJwT3LRn5Qv4BQ
8IzZNsh/rRlw/MungzEceG49WX+quu9oJLHlkSS6qKhYk2svsDxecmALzL6WdhWND+asf6uWMmwr
3k8OJnR4/P0lyb9ckuN4AukJeHub4vYi2PlBeufEEq5ZXQXv7OFWcg3oKEgOk9kCF9yGmh31yYJI
CKakjBmVi7w7HhAGLGJdFclrAWOhBPTIQT0+pHpHYb6e/h9757FcN5BG53fxHi6ERgO98OZmRjEr
bFCiKCHnRnx6fy1pakTKpsp7b2ZKQw4BdPzDCVEMeHstZqZir9GyWZ+STprsTNJllNfrmiNzsy+V
6IlHoOwMaKm8/1GmSvDHMAc2g0xyr0LbR3OOvcDP//imKMmRS82L6rs90Ua/x93dqu/KIqrXm/cf
9AZ6x4M8zwf7Kn0DgON5rx8Ey7RVq5yjF6omKHbuGzohwt64NjscycpMfJj62seGExH7AuurBjuN
8S5P/Sr78f6bvIEPmTfx6e4DHgqNbPbbwgkGcQsyw5l8GVE/ktc+wjKoXQOnArd2TjML2YB/DLLz
euXARAhEAOwQKJ7DlQgw9/XHe+7EVM5T/h0cK8wgNans2QmLBRXNqvqOm3jwsvZGf6WynpeRyIVR
GJvyX6/x+sT5+Rqh2Up0sEOIAT8RSH9MNn54fdmvQfEdZ5RlQMwgWW7kOiTFZVrgrI5VvXqA5Dwc
kOjDsQOiwuck7MbmhP+Y8/D+LLyBt/16GQpkNivPlfZfK28thwk7uDz7Hge2vCdv6+9AD1nGJym9
8JxyuEafS583oirPitlzrjS3LdzoQs83xo6AjVVNI8TrwfvBDcDpFNLUu//HW74GZZm3lA7XgA0s
G5AzmM3XMwfCailVK4bvy5S18aOH+0WPQo9A1Ybm7LUrx3zaTP0qUd7r/PpHQsGcmJfYfjp6Qd0/
+bi8XNrBlD+6iJ2niDMR4nQZTmzwTTLk4VvAw/+Y6L82te9JKDQALR3oNqjNvX5py4mtoMZk8Vsx
tF0Ni21pcI9CXG2NlukfzzLn8OsDhItSOMrjgIWrFbivnwW9tiAy8t2X2YkRZvqOZnWQkLk0A+dc
XLdmSxeLHAa1f39q/v5IVg5QQNYOQFqgSa8fDFSh72iU9N8wiUUnC3UEI5saoVTCbn7/Uc7fRwZA
fxduk+9ygqm3iMOsrp18Qnf5pUdJpQxO6ChUj4WruRO3GtRN3HyY1RrZ5WWdkpLbe39M8vUp64Om
8bBe4gKmA4WCjrrNMjxKxDahqFhc5kDNqPMNkxDlv8Dxf00MHm0cOQEiig7HztsL1FFIX8+uXX0D
7djxFoDj8+zHCJMFKFddSsiJEVKJOvrXYP09MYpZIZll0wCPf3tNRpZjz03nW8+rT1eW/hv+iAP2
9WGTYOjgeHCACxjoIg++Asyl+Q/LskMPnzrv7I4PablO8P1o7K36mWwiI7enYbZc+HRgQVG8P7Xs
izcLmBcM/J/bBB20v9Gkfjw1XTl09XMSpgCZNnBB9XrTIynAoloXGyOoo+qbXl5bXpSym/oKl2Zr
W0n0aFAxyUW8fGMBltkPiTYGfwEUQg7/dHSwfvjx68IXUcNtRnYRkz/GCpNtjP+CnJU6onDC7FSd
loR9leegYrEByWFCAgv+MA90l7kIb/ER0PPndTEh6wYlC0S8dm6WeQQVoFglNtCuaGHibtpkSucb
xE+y8rucBgfBBg9ljPWG7a/8TxXd4fWpg2HLO1LKUNVgcnvnE67iTVbtB4mT4tOqvWB8oAQsx7s+
43+ZNkmVcYLgIUFbrd65CVwS7Oehh+YL/iGNZSy0kWfiY6hBZUmMLWAlK39jslx+k9sn4ldSGfSl
PPrjnOhbDX2f4GlpUUXQ276DSLbss1jxaAtNAn59hbHM0yzqofKadi5y6uSDvnGWHtv0qhA0rI+T
08/VBfKJy3A+zMPMWprDyJx8KYj35SIcEbHJ0b3SJkZrw8hltzVhq/HArpGbQhHh9wf4GSzdaVMF
tpLZzkYsgAH17Yrl18+xOcSKkuJjuUd5WvJf9ADhcG37BsmD//yNlqwfSdMUo100rt2wnuaNl6w+
YzB4KfIup7lJOBwXPInkdfxrVAVWoYycHzYDvzBNGhWGqugGq9g6iTJP9KyALGFpgKYAFFmCls/j
oDfLpcbdLPvh4WbBoskimZV3FezjIDggmmOWS+NnLntqrJRi1cQuSDTaATMCBEanxImCA8r2eeid
WziYLN/ach4Zw3oe6bZjQwAIO7oPC1syJisgkmI6Q25xpNUbryAKwl3mzB4/W6Bcm4/IFMDWq9bD
OiHe11Zn5j1wR06BfbcC8kKYzI3M+u1A/vGvOPRabzxX/Sj4K/VSC7YCcISQf1mxBpQCyLfWvBIy
j+ZBOJ+adxEKK3i5RUqZLbiEMCvqnbdKKU4jrs28XlamockTotHO0+sexoD/KR0E/9gqbPh4rUwo
M8btWDKCAz5jDOcKNZu/VJByiFOmkaAIDkjlmCVqUrnxoQkr/rMlgmMDB5QU5DWpCq17zEFS9vnS
Las5PIzo/des9TqzpYUyf7SDJMFM+D15CkiZxvHGBzpWLqOAsEPTL6dxtvusvBoL4fAH2w7vQmAB
xP5mVSPhYezbqUU6/mkOUSoEI24/qMRPTX0JPy1zMiVFgoeItK0DZae4waSJmhNlbNY2ALSYeuV6
4y/LzPIPe9p3SFahHrdUBApTjbiZ748URBJbAzHZyijz0g+1A8yJWiEkU3NapeOCmC7igz3ESwyA
Ieygrd/qut/ORd9b00UO75Z3jKyeuWlFCHyEhqxT8TEV9ZS4vlclnY3qukbRbQ63EpMIFOw4iDlu
9hp/6QXQQoPiJRoM5Im0igD/6uQUeRgJ4SeJPaDI5TckKA1yisN24ZsVVNmVom+XzEmCGFWdDE5w
rWfVm8WDBKZZiWhOtM2BCq5ZlzY+iKyhyEvbPL5A7WDlZ607Dh0wf9/jqMRrl1HalTnzQV8FqNHQ
XveTdDlyM6TamKUKSD93Qb2UE38Lpos5BQdT8+PUSZEwHA+2biZ+k5SZ9iIaG1BKL8LcHsv5FmiS
yUDwnY85nhoxY6R7oROL02FkFNkL6HD0LKix7Tywn8w+3rUXIbYGghpZv/LiCb1PHi2cYub9OS65
jsalCbjlywisR7+ncWMuWainLctxlsBdwGeF3cL5sISJJT7M9tIBa+GI8sWpwUuBTwLXDzMADWUT
YhnlhuUbTt9kv7/zXk59MzhT3dIgOKInFgJfjZNs8qyzIVtXBMbwd4t3bTRVEWIFyAPeA+ji45Gv
KjjtDV+PN6b2bjFK4NgDNnY2rKRv6GENZgR/L+synczPQGB7LNwVWQDeXNZA4JFksWjdAbZhVdKc
DTrVTVAOithmf1pxys5FTNwPkHNJwGtfuzD3sl2v8k5bm2B1FvkFpGvR3dvYCD8oaOXIr3RUldtz
WTUj4KZ6HJpvDW4mFtC7EkkdFMwCb4spStp+STlzV+qWVV28YMa+dnelEcb5OmEhMn1YlUWtfbIK
4G+AT6YGMTnAdSDYWwG0ajhMkx/SvG9R1UGCt7RL5xKgKDJ9UahHB5Hhbuk45OewXTNu4bHDqADM
32hC+rWbFtp4wVLQMW06a9GflesM4l4WwObjLXjQ3OhYF+6C6W8DIt2JWKcRtVOdcJMV22AtyE53
Ki1WuztELoaaUO8W2uFS51cwBJzmMKoAL0a6APP6AEYLvd40kBq1rmUZwo0n6MNs6Y0rJEdlrHu1
A9lltNeDwO22sV/EJ/B7ekdDd6IlpeClHZ3JSdxD1MxOhaQhxX00jyLPt26avC7F49C3cM2PdhMs
TbtXtT3PD9DGPX1l9bqy7oQl+vVJA1IqNn4nZfe4BsBNkcHSMuiaIxVfcO2ogQFy3ins6jCDSjWo
qxUdFHSeVV57boI22NojzO2UWVi9UMaHFEQ/UC/tdwWuEfOsIWjqYON6va/to46q1g93Ax2CQh4j
Ejd5Df7fyvPjKBvC2uR7ElaeRuO0DvPBpR/vo9cq99LDr8KQL/iY7OZ39G0vRSSdO4C4NdX8CXFY
riWab2XjPyJj0jRi10RTFwHwtu2YGGUZA59oLKKL1hw6PFdZ/2CIMiIo4E2juVYUBwmbuw1N+Nhx
gbMdEiHNCVcCXOEogXSI0/shwwcnprfn9c0UXqxtbBGS+kmLZu6Vn5QZtwzUl9ilAxYE/M3DgKMw
RwAoJ5M5BJmDEhg4q7Es1HFoy1R+8qu+4lWcBriTOtJnpLbV4P7CMen3PZF9iHtM4x6F6xMFTzax
G45GOIFwlmUhLn/TBUbMpiPrgTWx96NTydVD4cAtCIkql7qOdVYOpc2HEpeA+kbRs+zMgVgWLnc0
nFJBaALRSzNATRWYmzNsp5k37eIk4NlDsAY16Ez6e/yshjbGH7OzOmIv9X4NNuXYq8yck7kIUA6A
TOUo3qiiOYD9qOqUiVdVNHLauHro5POEfFIN+BGLukt8DGHQHnSD9o13XjWBCVkSpc0Y0SOX2vkx
WD10vd1UOCNewtyH1KkA4kczY6tsgLLlFWf4YkKkn+VF2Zfmlvp9gwkgLONDXtumQiYVGJtq43iR
xUA2schUfVxSRE9/FJBqCVxD7hXeYOgtxIFP/xmJtWULbcDBrUSksF/5i3WpJVqluVMtIcB5RJwY
stQmDrjzyznyP8Hio9b5axq5MB3nifRv0A8hjSe+2MsqhzkaIJc4HViKfEQQeZ0yO1Kfxxzfq/yU
NDIupzNBODo+rIFrolhnbUyxs+tAFSVnjV2ZoMLWwG+pqbiLSeRD2bJYSopazrxNJ7sL9A7dNaKU
2I1MND/WTdf5J/TV+jG8QUjMrdNLGQU277OsuI33ew8jQT51xHpqfCh6YbYIPu2mwAqij1+IRmEC
NacgNU5bxywwLxoAWB1bNyiIs+Nft2syjjGXJg1RAtWt5zVEgfh4mXhTS7MeI5qiRNY2I5D9AGxa
8Q/+d/PbRCXdejMV+OSEOwcdYO4w3PhMaJjLITbBvNeYt/21PXLtMy/FMNVMatdz8JWX3uyN8ZcR
2Q+AoxBtaZQhy8VaKLYpct3sM9EJs3aLylXVVTk58ah3cdGHmHbxB+jh74qpXpjbwRpLnlWtHZ9g
N2NqihUYIWY7Bb9kvIsDlXZfx25IjSlAPjTI0pJbCu9STI7OK3SWXdYZWEuTBILJIGOzndlMCMbh
hJcknsyzXvx1ufCgMy0XMsC4fjzOLuZYX8fEmRmU6Ffk08f2SKzR12HH16Yzlg7L/ndGHK6VIjCY
49gm+0J12eNfMTkL5jiWZc3fvHHA0wHAjo1bZNIkpCNj0sW9dQpl4w0PCGZ6g7W1JofxtxJlkm7Y
lyYKA65tkvxAYS2nN3FTsz6iPoqZNY23MeH6HFr4oKUdXgnEKMqv1ydG3Zy4q9OS89JnbaqpN/kD
y0li8MgfouFsjkrA6qM8NYE/62RfBTNL/+SETkKqkqPD/u3X1qvGwoRWhVWCeoXNVRd9u9Pj2JuF
UU2mfoTT02KWJLXUqfpgi3mu8HaKV5Nx+8rSDOTkBGaLky3HzZWUuTAc1SmLjxHy7cMtGOW1PwuH
2SlQUHbJKbjYUHePSQI1WpAHCTWJP6OE7jirsrYykSgCA5zi2+lX1gjJIGeXttmIxdkVAf8gtz2V
K7fYI9llssBfiUURoSVHDWBFUhVd7JZybrPR4UrGK0DjsNBJkmxW/5RUNICxSBvMqw/wqONyj999
pPXemlFXvAoaiiP8Iup9682CFTRrTTONFuJweZ+m1UZaab/SiUq8Kv/q1ahSKyzif54cCjsVxrB0
crMq368a/R9qRrDqEX2ggRigxfCmwApmA+aKKqbnOdImzzTK3Ym/s8TSFgrYY8f3/uORb6tqlKmA
JvnwnoXjhgROr8udSwOuytZSP/tyMt3CX0ujCJH1/dfX/f0o49yKdJJpUNIKfVNZdSG6riPViedU
ROZ8qqXw4EzOHNacXe+P5Js2gAC9ChwWXQAgs578uwva2w7USzwDn2evhD97MSRU1+XW1yJhG2Kk
5XAXrrLm0BggkuE0NoxFG6JxrdFZvKYKYTppipTXnD2/Tubfvbaqi02KgHVQz52AGPHEv95//b+G
yqMsTGALSIN03LXNz//oqMxdBBt9CvyvOsWIAWFjxEY4h7lcSaHef9Rfa86jMKxoPdJ5hJf0tt5N
GJW6aNM2X1WCdsZyihb4x09AMM0WkRHIn38tubctO4eJMRpaiHRQYQfO//rjurb3wpj6/ddGgFP8
6axIFXHAhJ4LwoUAtuwiRbxPMLHw7+8YQdjdB047UIvvf/vbYaZL7yMTYrr4bLe/ujAT6oPjpGLv
CzUJUkeoDFSpwiow6fz7T3o7yq7v2Xyth41gQMfybfEa94029JzM+TJUdZBfgRQ1qXmakamd8OAz
UeP7D3wjhBIYFRLKzoAKfDrKlI9eD7LOwpXDZOmwrKQvmew7LzLHHIfiwrxGXVvAKUpS6BtqG+RI
Zy7791/AeIq96uAQakFvtD0/CLAI8723JwtC+oXTBNUXKPVLXO3pna75nqpHorLjr7Bl7BITGiNq
ZM7v30Vxy9em5FVKhAeTs+nX4JSZb0o8lP4XdnENH4hsYcVjiyuhzyeYwLsQ69lw2qROrjmtg8k3
l+WIosJY75LIZuNDPASzke10MFA8cjCBxFoHLGqV7UOCeVefpUAZEFusc8vEVj3Icw4Ly7CVKSOD
wWHOZJMS2wQ48vLnGwQpeK3gV4G+J7Tn1Mxz1wRNWQj5guvVdUywHGUlbkAbu48nxj+Ms47KpDvO
8Law6skpy74//H8tuAC1B1v6mLO5QGHfHrYDmUWCSOTyuU5aj5g1brRJgcBVmgjgd8n6/Ueafftn
y84ctfSU6dFgC448yhtoBY2yRbd9OH1WAPmZwSFVMr9C4tTNrWswpLwB/gi40zSH2cGejSJsgYzC
vxpFb7/c86SwOTml4rMBery5RCvZVhNzmXzOa8qf5ykI+/LRzSe3u3R7/Q/RkLeLHMqFH3hUiiTe
HqF4q7wjHRtdhKbvv4wtlLcnPwvMssiyxkRW7w+v+2ZL89cR+KHXLwM6bx76VK+3dDxhy4hVg/tY
QYDDPZvypY4PMWVUMl2YEdwOGwAWJf8VULBhXc6GVUiy5gPxNcYIlGBIeQxepJm8gjjUWYUJ1NOY
DCUJOAS+JTjmmbLWbJkyQKgNVvFsDKUpE+cl3ZGH0XI8Ps7Kfe6iOLZMp8gZkfsgq3KQWmrPLItz
tDhUeEuJXw6QrxQZ/8TvvBlvxkBxrsBIoAMJ4ODtGPg4WapSwtgayszczFFNqwIzlKkmc35/vL03
69nMKYeXBOAjuRb/kgFDJZmaqiOih1DUP581+JRO87E1of7AUc8R9AvrUQAKYxTwnjFV0t//6kY8
BFISBJvB9UVg6pnkgg0nnYuTJhUFK88Ga73s2ap4F6ZNmU9H1AxImPbYHZAepzDNSUt+N/7oFpkm
kgXHn72zhvbKz8a6NBO++hlPsX52x4NfpYnRoQKKrK2fmJnMHKKWaYOOuZl33aWmsPy7hcaOZO1m
9Dy496KIKoe3WRy0iut/3Lfh6+kD9YDKi2ujbaZ87sK/RH1avgBeaxN9K0Yv+JR1KNQeXNqjJ5mH
jaDGn+hDLGZ1seAaE+0aEVWn0s2LpxE9C/gY4VDRNI29jbKWsN/IRLePEflrfwPfbky2STi6J4yz
bktabd/GRvT4MHVQu7f0cuSH0Y/qiwSq3BU3UmIMCJMx31l95n1c6SOP50hmZj7UeGULRFP8/Mla
LU1yUMz40/aquxHcSkh0QCW/CpZu3Olmaff0xIunhB4+BE6XLkFm5NK4RCZaeNopvoCa8C+W+Sev
d21tTLabLnhwuZ+/NgkWUZuokwkljLjvj4jUVw8ohwxPqecl4O5sS6BnSd3ucz4olBCspruXou8J
i6LhlOGyeKBNsABbpl80Y1atUmsziHI8Lyrs0CY1UrBJsuzjEEr0dsJoyFHH7uoHODWUxIRjJVT7
LLGFO3Mr9GI/u4vuvzjBKh6TwR+2ySzLizzA6VakQGje32SvD2sWBG1lDjOfUEG4BApvzrSa8k/Q
4rDxwnxB/ncjtDVlUWu0qTtbPr7/sNcb+tfDUO0CAIiXKWClNxFJtApCu05VL9IOSjBps/3gVNRX
N2WZX43CM+LgcV3e0iJECPv9Z/+18n9+JtgwWjYc4m9hE4PfqzoXXfnSYleGVlTRIEpXgkf61/X3
8y/99xr++ZVwZMHnIJ/Ihfw2iZzxPnNHsDIvzoTnJ/EH18WmJuFJdwC/oTa5ZXSXQqtqNnbhQxDx
RrySjmPqSwgLGpgh4FD5oZOdOq+sNnjkvsWukbqifipLghf8tEuUHrQjbtHAqn6UAyJWkGaC29Fd
3I8qI0/dOLVjN9s4jz94JfzsjRWUkupNTi/OmRSFtU4tL3g5aFoJQ3dwYt/+as8azjLz949Y6G+c
nAkDCIMYFxh07tuQwLGCfhbhsr6IwQw+ytPJ0auz4jSv89cKrezPnqXm3eDGND1aCL4nUS1+tXt/
CfhmMb+amcCAgwV4EAegItKSry9wEFol7YMkeIkHGgeU0/CYmkNUAXeQc1a9GzG6PgWlRi8itZqS
bk9dnmrqVlcoOsGbKILY+rA6sTh560LhrIvUlxK1d3/b5dZVulTBJdzEI47k3gM10OJDbTFpCJa3
87Jd9UzbBUOnaBs0Ctl5l+QbEln6Y5FZiuItDO+cSvEpxeX1A54eqO3WUT88Y2kzPAK2y2+tKuSC
kLMzHTxXT1hGdmn8MBUqyTCZRK5lxNBE4QUX0wIIshZuVcCdeC98K7xMk0V8dKhqRxuaDlhjvD+4
r2FJrHrGFvoeMagkmw3eSvMNlISZ9yBCgUP41xaqX0/YWy+QptvKvnYmcol/PPGNEuLPRxIbkOI4
LgQW4GpvptN2i67k6vyeNZk4p2yGfHE0LNYFhUo8WjAG5KRHPuyl8eziCQMUfZniHn5rjco7/OPr
/15ahJocny7+vyC/34JPu6n0+zAG9BnPNBjI2+voS92tybjDHw95Lew5qXCUtVFd8qkV7jLMscBf
xumOOolSSAlZSHJ2tQw+pboYTemXEnpl9ckVhkX9qfW8+VpCLjyL/SAWGxjyLg6YaCslVDjtcth0
TlhvQ+QTmqPFsByyXFtXSjojvzAF1uVPWOgyT1xnGQIRh3ji9t7iopBflrR5iSi9Eonroi0qICVY
fO1Hmp5P/khqSizS32sXI8ukLDwE3APgMqxE2kVbSdXvxlNpRcsVRB20i5m+kpZFEW8h8jdXU6Mg
aNUpvjtbxq92zgCnTN3RRhXgIyZf6aehwmlVpG5q/GQzzOV+zs7/J8s/LM33//U/vr6UKZp6PUHj
N/0nawKJYIc79v8uh3yVsiL7Wr/iWvz+f/2XL2+IERDiyelZ13/y5YP/ycaDQR9KIggaPDzrv5LI
5GNE75z2HmSMgL35H0lkD1dzdJVBXqKUSpHQ/39hW1CM4yl/nOo+qabZd9Q4uJgQ2/l5+fxRq/OS
XJVaVPZFBZ8paYetI6S1o/8cnVLtzM0+Fx5mPAvXbHeYLY/oXjba+z5DQSb0WCk3N8PSX83wkBS2
J162fqSxLMQTF5MHv693npGVix/LeQi2aYypHS5S+qq1Y00zDPuQQ1pnENxqBCGu4okfbkcJeuFo
ZUl+wn2uQjRjXk9cPrdFp71nrDai5cLuWwT0ECnQl2OmRPXo5dEQXPZru9oQtei0lBsBGfwlWxeY
D26P6AX+6RuVNYd16afdmvfLjh6Yt02IVz8TOU/JTBm1tK5yL/UJr7syABDD3N4jgFfS2sIOHGfG
IkofOYPaTZxM1brtsEuUZ0IirBZ0dUt0O7hnfaCTI2JhL0WrFmABKQKkdosi5Ti67jFz0we8y/Ib
SKZRhqDa4l0tAUDYHb389KRplnNICB9BKMf6iibtTCCNDt5Z1wcWeocKBBQn+7wdQ47INSEGRR7J
6u8cQqKrUeEN7OghcM4GtLbqC72q6Gktw+Cetkv00OnFDc86avSI8/SNX1zQ/UMLJeii7NM4dcne
8txgmwMgYwwgXLcYpZ5LVRcXMIoZy6Gk8ORKWu5YuC+AcgYdhxCvm2QfpHK9o08iUvuIuE13yh2J
VGFH25Ur97Rk01rtAtR0kq2IqDKFwI1Ooi7dT83qYYO59tb6ANcOqUdTQU5PwrJDbh908avHmAZA
YEMWFu5s7SeNrBoZx5Atdn+WxMZytswKP3W+xv3axcwcntW+X6AP2ONQ0DYC6FI07Wc7qvZSVc5Z
Oq53IaQ4CuXIv+V5PWXb1MfVS6Djv02koms1gDHaYIzjIRLo4zRbrNG47eYQCUMreMhndB199ywe
uisU43DgwcMIx8Br0a4Ytfm4o89ldB7kFfI2ef9IbeF29vC+gwZI8QMXz005Lp8dECCHIEijQzQu
93aR9Wdtl0CFAcB6CRTeRhdG5AcdtVBnLaAheY/JGA3sbFOCTTwXQ0EwFNbphVUs65ndsjVdWbiP
anG/VDoUqJPFUAOMsxnmLyCKqkBrBFu87KxPp2fQTMW5EWK8aGUA92Yt7X0Hc7621LYXzXAQyJTm
GPnt0tKqtnFrQVFsHCKkGEtBf20/BTORt4rwnpItFilKdHm4tUU47RRl8MvKx5W2T5fm2GbrvcYD
lRAbCO7o+tFWdJlzw9tnF5m/YEYRodp15nje8L3Bj3QXJh6Dw2Y7tdiw5AHpfRWv+lS37Vk1+ffo
x91hqXa5OtFRdYO9zdz1IZX6WNu9OofeedfDpK9Aa+1Ce9lDL9h0sQSEOorHvm2P4TJfZa6Fwo4/
oD9Edw37GxjAcSSepAdjfUIudeeUxfdC2B39v0nuMqLKewRrrsIWESilJfKT2ucQTMMr0ZTdJiuR
nEAj3YEo7pJpDEm1LwEmYP41TqytBpAD8yGPLuSTLQ3Y4RR2xbc1WBBldG11jl16cI4MBLgVsH3X
4CWy00AAu2NXOLdx0t4CmttbIR8FXeZ6DkX2tTCnWT5EAYlyBmG5aVxxl7otEgSNTiAPZd2hmRsj
QZF8sq1+3BTu/CPRGLBBnR5+1ohBJIdASKxInQ8ID+x7jvVb7U0NMghSneVZcBfJ7nYaNTZt3CvY
zlpTsAUAoz9yrmCbBrsafT5PZ9eZO4zbFmv4o81EHey6Ha792E/uPIw5r7rZvls7C+RCVn7uYxfv
aDV8WObyULVQneesCTZr1d/1WF4yQtR2Bpu6tJd7vF6NMKNIr3Mv4XZoIzqfjsLVXj8U6LseXFiD
92RrV81P70lHZ49IBj/6Mfxritxf+1V9Inw6cwdqS40zNIeywHc1cadDP3Vn+DwelZshCpdhDu86
cXucwu5b5eN254ONOtnafUCYImcB5zUgSPRgLvx2Qk/C8e6oNV7i3v4kKaRv3GLd2zXEGE7avbTU
F6FojJPmYfPIWdpY4U3Ye8c+zeY7/DqxokXtDmVEuYZf8ih2PhV+KEEEB2w1S0QbNxgp3Yx7ynjn
Qejqgz+27kUnsxD9L1B320jVyTZfivBYzMN6ltT6pJvsfEyj/KgLG3CyInVOR4sCZ05LIkI1IZwQ
Pt3UYhDfBDRLDuzaCq/RHcS+oBQW0qdde1UMKaR52El7jGKT52aWYju5w+WcttwJU/HoiPFURfWV
Glcu1kyhQ9rp+3Hpr9s0KL+Nc3VS4fIpC/JiT4a/RTevzrfCD9IL+qpnDjn+AQHh0AUb56/Xsy8K
PKyjttkhYOBc+KkPeN7yFjrJsfc5qofmDpgQqAur01WzB0eFc3jpVTfUVPucmgGGJ5p7DQfZ6rTU
CBo4jtMcsMYc0DiuIuQn0RrA0SlF+91Cj2oy1/MU72qpMGP3ryc7cJ8sNHk+2HEDBE4sBTrCm4XS
012VWeGZ6nM8FUfvUcx282x1eHmdorIa8oMfTB4KPgVdmg128ct44p5196NW30prvHGSAJlCMem7
3q9uJgpY2za3bsslGT5APfzYd153GGZZn8PB/xj2oniY0QdyLUfvDbp951YFfHhK+qfJWaKv2ep0
+8mPujMP8vo+q8fkKAuJT3PY5Hi1YxeY9iOdDbx8Kju0ruJxyp8aBQ1dUQP+IcEO76gPu3iGe8VX
zIqX+wBVlE0+hJ+9HFBmGZbBE8Jn6c6KpL11gyR7qOLK3syT3R9VUOAE6hloiDCbiAkzGo4evH50
U9jXvF7c9eW+zF6aLn9ebIsUXlXjR69HlVsNyXWB3eNuQUiENKhxym0I0R5xk6YTSE50xQVI8vqU
oVVNjFDFV45bnHQe4Y3pB80egEN9F5aIHXDcJsMtCXR4WgPZfgSocqoRLHkYEeFAViNVgNwB6V1W
Wr+0efiN07k4tNCbdkMXDY9p5lxIJBuOjeqWnT9Z6R6VHi4IukE7TdFhm4D8r7aISLnXGECk29r1
20t0SEGr6H65LMWkTlPtzLsgab8Vcelsh7lInZsGdbp7Dsge/cTBK0KApFNSHAVKyAeBzxGXV49d
akvp7yJGTfUAvS99sifAzeAmUULeAKTw7svEc56rwpfPIq2QX1t1rDZR0m4spyBgGBhz11SsVj8k
PKaOGgyrhTiIDYvG/YARPD1bwCv42p8nqtiVRB7UndMxRss7omqeXHTDFBxyktl7ZRGIQjEs1Las
xqdOrWfSnV5qRIOObROsu1I3aCahYnUWVTW28Sjdbbgkj8zauZ8JvVHpiIRLjTXhLIYvoxZ6664N
mlJNBHK2qFFFjFruv7w+JVBONkvU4MYaOsXJ067YJF02nlf2tI867zpLMu8xFbI7Fo0ML9IErVmI
KeU2D9T9siaHAiT4XZeM4mg7z2g1EDBlUb3HivLRwcKI3Nzd4fvp7WTSNAg8dZuQdPm8k0u1D9ri
hFM0slodElZ0JQGrWlWzpVu6w5K75ThJ/Q0ABJyO23ET4rz7ZVL6UhLgHzBitzalah7nmqI1LJlm
46flxYSwBj2TsNyRqiBnoy1guXHQcCcW9Vldizs1leIoYyiJ1fBYA/n8YMn1Fod2KMDaXw7zVIlt
18BtEAv938bv8OmbxwNgH/epmDp0e1HHfZx1X24RfUaCfbHQZ3ewwPXqYpslPixKl7LCZV6uj5Q1
5kPdE9OldZS+5J2zc4BA3a4pq3wuALzbqDNJSEKPCINdtskgrjtsOrdDW/0g+MX7MOn3xgZim1i4
vM5i/DAnfXJYi6F8hKaU7grQ+gfEdtVeCIIdtw19RM6z4iqPOVyWKS8PtGDba0zMn21I4zuVz/JI
e2q+/d/snVlv3Ei2rf/KwX1nITiTwMUBLpNMZqZmWbZlvxCSy+I8BWf++vtRtrst2WVXHeC89UMb
7bKtzGQGgzv2Xutb7WIrexeDO9m7NlWP2rhXWHEuQWIMl5qod7RZph3cFEKiDbFcapl7UnCe7JDB
6Dt7HEcka/Z0Tq/rz5rzRqEqHzRnfYgbCwpYN5xzzF02BhAQpBXSfT4Gq6KERfKkEAvqqdjUzmGS
Noc2l9dtqp9Vc8L2mLRwP6DG7JuG4+2oST1kqBVqtYmBLMvOHPQi1AniJHLnLVx+3dPT9WG2h08k
0jzWdc76qfWbob+w6+htPa4M3wiv/qgo2rgbjOII9HTdxbp9TtjmPcFhvnSR++U8HD0tdiB0RVrm
KZVQzw2juckmqjNGPmJHog59beIkxWUe1SDTV+V6sEj09PJyXnkkZBEflydBi0OhSfaL43RHyQr+
uMjks55PrJFoWrxE1zpSDoyiJ0XVLD8UdVaiZE/V8pJHlrF6M8xUCrxa2tjbZHUz9Vp/GJWZVJ/M
ysMsVWK5azQpkl2d980HMOQpg5zR5JDTtG8nnFHHkZiGI1V1fiRHoQoNtyLtdlnjs0kM1h5z9d0C
9NJra/fKdYbsGsO9+mSm3XC2Jql1anRn430u+WkAiL43J0Pe0eOucRdrD5zhs4u8Qv4fxeJqXeNx
R2JFjDAUK8JANtMFg3YjaNd5pm0+M8YcOS2NtqHsewJGfLrAFABVBQ5YNzZRK4eqFgYxLaMYqfai
eMiRr2JjwI7TZHpAAGt0ZakQnpAMPDrl4HqlZj/YccEVo6i9qIaiOshsOZpyXD05wTwqwTnVXWLz
LHY/MhdO/daxdR+k3wixzawog+TqTzk/vnOnHS6oXQwWgOVaTnuDqRqdAVx585ztE3TOR+rGIyyx
bFcU5bhnuzIDdvOFr96sAnjcYZY0VxymnFsQSUbIUZiOC9xbdMeuSyWN2euCRzVPoYnTwuXSuWfo
1Bmz55nhoxo3vSGHJzRy/KhVrT2zl46GZVykB1IJ1J2UDTiHvhNnfY4bvav1p3YdLha3kN52ttDW
9FJldw/mNS6vM8nXWJNJkbm5Rgh8AYhqUkjFrtOeBrdDOLCRXacaCea4HC5iy35XO24XUl+3u7lh
+XfzzJhQhDRdR7/oTc4yZrLsyS3hRzmD5qVp/3mtmxur7i8W0AWeXCJ/jbGeRS3nLE2v8NHCXsNB
yMcraNfo3U7A0fIKaDaHpC5ksOaNSdGynCbu1N0QFQhNBprgjAClTwH4ONrZY2qbR8dor0nomLF4
LZrPEfKMLfpdg69vbwxzwFGLlUzex66H1uhxN4AHUwcN98VEG2XloWv0+lE2KghJ5YgpIVhH0tXb
Vq1cDjpr9R7/H22TaZqcPZTbO/bOW22J0RghXQ5yaxtgONMulhwHe0XAsm085u4cUhF/n8hhoI4z
qscKhNxNFit8kY4ZtlOb+Nasr28Z8l3bq0sUY6NqZBuKfd+ZtmdImVk7CmXFtwp78TjgZHdkqXx2
VJxdq3aWO9aDrgJYKR56tQyH3nmS48IcziEWegtn3nWl67fklKvMFODZjk8NYClQbPlHLEJJ0ILe
3nUNqGatxpOyuQHtFUKZz1AROZdKviy71seszq5lwgaNklYyFG7Qv12Vw6idFGr6BjxxoXnTyKF8
bMk16Qae5NiRSs8VuGIqXK+EqPY2qETrrCnVM6DkOyubiQGY82LY08WJTzyygDetKiEtmbq0w7lS
rzI0Og2lKjIWeUyLNrp22NWYPnaqNEtKY7jKuEgAxt8phlV2+9LplGUvlZzMcV1NaLVZnBEIzGi1
AagSAslWw8M8LmbU0HMYMGKdD7ZjPHb5jM35PFJx4Mnhf6dfH36uLx/Kz93/3QYBnygu2OeS/r9f
/pZ40a9zgg0z9OI3wXOk4M3wWS63nzsmcd+4rdvf/Lt/+DeJR8DoftWI/3+S4LXqRRteff4n35BH
goxBQ5g6+g3GqDRO/8+/MglV4w/W+xaehICYbvy/u/C6TTAh/wonHjI0/oT38LULr8M80hxH8OM2
nID6j6C1jO9f9+CZkpJKBv0Weq2B4vflKK6kXdfN3NYglhtqTYRLE+4YDHEmHeuzuhkdrWTQbOMd
CnOtLErxvmdGr6KzacruTmM/WaWnIlrWggKKRkMf0x7JJHHepDj1OosSLuMWI15kmg12KZ2W1q6q
3OVA82ZCOI6SRSvHoxyQtI2QGHvijJqLqlh48oxjiljFJeSI9NdsPjFqG8URgOlysRhRdIfZvmHU
bt0rW67pVI92vBPkEIAQbM6zzRlUovPYWrG5dpdYKay2NBkoP7DXgn0HpeIGk95CfS+oAfD6gZ67
XXOCR0SjMc1CGTJepCLB26Al29wWaRIMdJeYBZiy81iEuLwKxzfdOj1aZdzaly7mCHYjgG5hqyjs
NdYWHMteRIassjlDaGvkhwa9zD57Tpu1n5NnKyMjhbbcAmnpS1YfsMTiRHvOq0XT0ftJ1zHii5st
0RYD74p2k5jbzGwJvN2ib6O1xnwCsJIcZsTwMwIvyRHSMyJBaC42mPZ8MkHudpolA0OlAiU6gqBd
9pfzCZpG40PMmQIyQMhfSPPJPFo4Xd+5GUEmtM95JCK5bfs90QyCnCSWuq8gehY3rZUHWq9UJbVp
ETENNWfEoxl7YAp9WNmZYzlSpbKv1cQSQX5kIF8e2joixjAeB54yPGvoqGdU2bE20mfReoKriC1q
zN0mRX+yo1Q8rKZKW93kbtznUQoJtTKWh1J1XXC3sjTDoZ6bN2olkzO6gcU9wAPSxgRKrl2DYR0w
YBILX5Ns5uUCP1wDpyPxd9OiQWvLolFndQyYvrf7ZYxneKLSvZrNlqZxJDEdtkbMmZVMdq/Wyxwv
p25y0EqG4k+RKfWxjzLt2JOO5KMrjT5yN0g0VzjVHiF6kHa/dP2Yh3HfancRiOLjxHyHxyutKIC1
UffGMcZPAt+0Py6IaCP8paXHHZAea1rOJDfE8+hSlTnqeWkhlsoT0/ngWLoWwlEgmMuEBqT65qjF
XqeBTfK7qL2jhyUvW7Ruj0VfRv7Qxss7gkbKQ7RG3IKKItyMJuCKBbpRuqulnqtLoosy8IA1zGkP
PEC0M7t8M0dF9Vsrbns8s251rAizf9+3RcloqI9ogBuNtsPz3IRjX2KrgzYr7cgYKARyccOja9gt
DJdcOv8Gk2/HxO5If5hj6WD2zZUsI3ffWaL4XKn5Qo5LVxM3RRrOSKiDV0X9J7IDDZ9oCKJ+nRQA
QMHUvTa0B/ws781CmjuyiBGhuKNmy9xvUQ7EW+xxmzSDdT11ShTzsrlpDUzj/jOf/jtxvWS78qD4
6/H0ri5q+fBn/f1M+8u/+ddjUeOxyAwajKQFyceBjPUtqnd7YpoWU0s0+F8n0N+G0yrEdkI10D6g
0Hr5WCT6FxuGC68LgSSYJfefDKefpV7/FhwRYgilx3ZdzmC8HEn2rxQqAlooqJFVOWOFtwBv2Gic
ZbjneWFU8pQJsHItoRQO+sDQJsc3Nc91tyinIIYNZ9q9Z9ZEHsQnw+W0r19UCvgzixAl6nORMSIp
ZNqFQ571cxQyQDLT9BzuzcjsYeW/Ik+MWthfBuohEN2cTuOhHObkHLWwSYyLNzm2ApBH4Qgywr4s
T4hsSPDK9WnjPrSQlMUHrWLOuqstWEPLm6xlhyB7yWCyeQOidEjcKw4u7LuugbKldBB878yhQkxS
DLR4Fs9eFFqcMVhD5o3/uWv+1l1DysCv7xpEHZ/69NPwQgwC5JB/9vXGgYa5VYQgkjSdDZ7z1L9u
HFv/A/OKLQQ1o6Ha3zM0De42nGrYCwC8fYk6+FZPGuIPAhAs0Hvmlzr0HwVdIx17WVAa9A7QjQjN
cAiWFaRSviwoTW2B8Id1/lBXsUrXJoVKi2wA/1h/v1j5o4Py0WvqtSfWZ3Z3ecb8cp5przhErO1E
79w5o0NaSgHrYB6K89ExOlT5FlB3qRPOoYAuzngaLsMmTYDeTUlZCh/WMIlRDh3RhuCwnYvsnnmn
dsPRWPgUcJzEDScP1NaevZiGmwdydtxlqFh3QrTCh1t2Pxbu3QCFw2ubGgeXmT1aSiN89Be0H1Vo
wtSX8tiM8l4lpQpLzah7GcaaoIzsd6jVbzP646Pk5fGd3hd1+oRKU6eJxcQFW9eNCpmDGS6fx2rm
PhCyvbfUjDAwadMeUPh4NOQ1iPaV8EfFPkrpHGOGBUHUcWlIownivkSxnuVPGENmz7K4lFh0CQdt
+aHFyCUw8vgtH4HLIJxjmXadH0n+1ih4D6i6IaVHNFPJv2KiYchmXxfgh63W4k9z42Zyhj7Y/mVm
RI6XugOqAm3D0C9cgqbQ+8Ds1fUmrosbdynGoNhIWQWmvjPTaHn7k64FQ8sb0hsr9+Hpvc07d/Yi
EEU+LOOnpWprBHFS25nRgkAnXyhZ4PF9igqaMr1072hQ9YFeFRBEYFZRLMOQMXrmCShyCX3I3O6O
8J/8nLFJRGlXrPtmFeuBGSndz44XnUz76KjK3fMiSVtyfhaj7fzGZh2oi04CuwN8QLh3k6OOOy3n
l1KYN2PKm4ozEoF0RbLfZ0Pn13E5n2y3Z3jWbKuo5+9yLrtMO5Uyo+60wB4RcFqRNXOZWFgcYRhX
meYl6/kJ0zTsbo5yXjGlj9D6+O5XfpcRLQgdR6n8qXegsOGXJzmSq9SpRApodrNeiLZzd7KT98/f
dxk7yPqAyu962sd7WC70CVzSaVAhJN5gOcVJqPETNzmrmqcBonVWp2OzVOrtXqBwW94WCb/FEv+I
AoTvn5RSDyp3ejlwuaj875aVb35quU9se4pOE3LEiwSgP7C47t4GnwrUiW/YGVhMDnfj88WoGm6K
SeGvNnn5WNaTFpA01J4Aypm0v1i0Rd5Fp4UohtuS/vZO43joTXKBeQuTYY8uQgsk9AS/lAaXVNBi
muKkI8xWmcPY0uCutFHKHH/VAhJdyRGa9PN0yiqUQDWrrOIPGVTkF47GjaoLNgJnhIMNXakIBPeJ
KMb0ZkwYqG63FwKx9SDohwWzwalt4Jzk1cSXeagwO59Mz/wUJ6IKZ6HnG+2C2zBHmvn83aLM3Izf
1bk1RtsWwhKomtbd6RPX5nmVr3a+7oEfuCHzvjxYgEzsOU4VPqSZhrk7131b4dziN6mxVqG+sI25
I/e3sbqIzLavuR+mjUXEMiKZBTFIpkYPwByVg5nwUfFZ41YYVOVAsjK7l5k+gj3nK1DzJ9IjMHfo
3D3EJ6e7Uu8JHq5UknTlUJ3bqZgvzdkMnSl7hL9DKWJP1XmUa3kAXhz+wCqUQ2xyn9Yctc4XO3H3
tsUiqxhrnyvIWBB/sX3ZWQk1is1BXYmTmI0Qo29Hl3/mh6nTuDM63drZvdB9IBAoU7ROHicLA49d
ERE2p6U4CKiygQJIeWfHDJWjia/umVASDdpNgkYZK3+1hCj9tACgw7gzqeR30chbAJ7HXQQB5kDF
wi92oX/Zm1Ck0d7dbtoxtYi6jZU7fnZybUqWhDSNG23JlhCSL2mDtCZ57EwspnZuOHmkfH91IXyE
2NU50oL5crDzJ8o4Ls3CHfB8rS3XzP285EcOKt+rgaQqMBh++fQ32QJxqQJCVaJrDRi+jzm6CJ2o
fWpt/nM5ZDDgOC/GKfuJoRTpXpXyE/4UE5kwh8+6td+VtVEHuZJcK9NwaW82Dn1y4tOSEohG34Cc
RJ/ziwiw4zGhq2bF2jjF68fcpAvvWVQESMkctUMxscrskcHb7KuwBE2oIdqdGeeFj8GQ7Lgl7oYT
3A6+Ql1EceSh9DCGIBOcuBK64tdJbGBeRotTEGQjO5BzuyXvRcBpTBJZaSSNurPaVjk10fCgkE38
Z+eOn1Dd1YMX63P+5LS6AuMaUMPaYf2ZJ1SFst67ZY60Euplq++aTHLPZ8ao+DGPIl9TnegCrMuq
7AsdfMNlrsGT5aRpdOUBYE+v3MNLYwA+xGNxHiWujjxOFqq1a5e8TS/NER5lEGtVpNxWA+UD0Kq7
70qx6y+1//f+ua3i/+5EsNU1dOZpbQEEtghBoe763lheuIq2GrUcDiQ6LiEC8Scwiw5bkHMHIg3G
HoeAnZH+1o//Up5P0ba9rsEwUcOLjN/6VT3lLoYGPqcZDur0vNlxD+pp/mc1MV6FZv3060/50lX0
9dVsZPAaBFnxAxR6nVD60CUbDsXCAtkqATePFHIQO+H/5xDwdw4BtHQ56/710dn/XDxMD/Lz90fn
L//m2wnA5OTsGmiwYTVYX8r8r0dn2+RwYFPL4+D9ejz+FoPm/sHS5XQAFpgjAqOSfzeUHcj7RJYB
i4TaCz1B/ycnZ2ARr24UhuiWiq9XENu79a5fLdg8oyYiCZqkVmtJ7uldVo1vNTrN03klGmi2Zdnv
m3a5LmrQZrsioagStguEUGB9GNOKmlNf1fsoHUoMdmjqdng/ps9zjzicp3tGCg6xXkSRXlfANpDJ
Fh8NhXRvne7WvoppVS66iAM5u5y4uYgpwiiE1FnPA28mB+iyyEzUR85A3WiDDTU2i7k8YRPJKQl4
uCs24YJ9IluPuBJ5NgM+gwJHeqcym1k48eY0DDxWc0STFB3Bafa3xAcaJxz5HzO7Ve7TouT501aW
Z7RzFZLZEQfNdkBpnK65Wmc2iXLubkYn/hOVBB8Sdp0Hfe2Gez3fu26e+Iupk7FL9R9CGntqyOSa
POH2gK8wrwZmQx9Ua3vAiCuvnozajaXPwkvt/qLHEuINGkWG6txF43ChwnfzEtxEdBLU85mHAPFG
1Yhcadp+AZG8lOeG09yDzgDjp/bzifrpIwX2cUvN8baor3zJP7YmtZ9d129gw67kXFIeNRgtfQyo
w34QFHUAYHYswbtZjwImeGi4Imt7C7BmTX602856CO9LXOm5wgQcAeObuHOLdzWHuXfqrFMTbZV/
G0f6Hi3oTP8dD2lCDGW3NtdM0lcos8oJMUX7UBuqvENGhnIgjUgn1ZsimCgDr4sJyKWzOjQa+/YK
ube8N3LnzurSOqxnMpHVDlWwFeV2QPioenBbywlo4r8tViSbHgOKt7ER0bohWsCmROnKG82Nhk+K
aDcNbSv0m14r9MsybRPVn8DucjhJ2jUokuqNrqhorCR9aF+r9duu6OltOlHlY0mFrsSd42UgcP0E
KSiKwbl1Q9nqhPDEjapSICw1EhrT8XpntGrkn/NwhlG8B0koFfOtDajnzCgtgZSzH/1u6Sn0UiT9
9H7zut6rjozkNkcWZxA1zf5YZ8Jk+JH1y5NSmasSOrKuo6cFscpFgZ4EgxFYHyrAVGeIg+2HkG31
zX82+r+z0W82mV9u9F99P/9VP/0X/dKhfExfjBG//Ptvmz7tTQjHLqiEL10fHtzfNn37DxUjjcuu
jq9/2/f/ZebRHZqiW5YE/howRbbFH30bIzp/MEMEM0LH1LQ1jT/6NkT9Wgwxf/1LuMD2+HhRHXEs
N+nnquDYaeiCWHhZHS1qleNLmcUB4i9znKcCvyW2nGPmOH6FBrZMxakj44cb6V7N2dn07ks98Zdv
YeuJ/fAWqM4Q5/OZtW0w+qJAq01M2g6SpEMtF3EZGfcLYuhuzIOqJLpWQyvQt4PvNnEFSyO6aJqY
1q1mVMGkfTDoLawJBzolvhCbZrF2EOiAfrXVy3absBjm6FFO+wpiRU80n7BW8Jc4faODRGKQ0QvY
/u9iGB5e77fdCjWt7LxOCRbTxWXSc1KPc+ucI261eKvoKZYV2em6L3LGI3r1bnFgKrMmDjOhZKWO
EURDjIkeEtbNir0cPz5KTC9FQcsNTfHe613Q5edkN92w8wwByi5PUwj8stwPqq4EXWw/rJB/Eb6q
nmuRTW+hAWpdT+DuGOrCJ056J4f8dlYYpLaTDHJUsmPffOR5JcK0GK7jzj6jRfa4xkR5Z8hErKkI
wbch3el7wqyr6lM5o7nMQbSj4Js+VUbsx9bQnVfdZNKsa3aN1fFi6z7N9au4zOIv5vD/GAR/YxAE
0LKdQP66jNwzgEn/fLGhfP03X3cUR/zBjxCY62kKbz6/f09gHPsPNhlrs8Fjyns2+n2zB6I+EAKB
AxuKYKTP2eRfO4pm/IFlkC3q2aCtcSD+JzvKD3ezxdwFhgLDHNYmU5+Xd/OGbFlRJA4HTRuwuhdY
BcudoSXuuTHoLn0IU1bncBrxV7qQMX6zmbw6Bplb+5reOtdno/HQpHv56m0br1gJ5j6cBm0M7KW0
AjXVCgI/0/Lw3dfydSv9/lz505eCIkaNiw2bo+XLl5J6NqoqpvGQeobQdE2d6GMSvoj6o/0ffCou
pQu3TN0mAdtR8zu/5arOecMORcDePKchcqzWl32f73oko7/hlbySlTxfQJ3PZAidRYGO5eVLzWM/
5LDQ+9BNI3zti3aD7Nt6mkfLx/6ARKSmvGVOlW8Kq/rLpvCXjwLW4PdPgq8vTkNtW8VkSL/6nD1J
q5He9H2IVcciHniG9qga7fk//eJQ26vYjGit4KZ9zSToYOR3YxsNoXQRhrM2N1qEObf2GGRNyYT9
1y/3kmFk8qFMuiC0ATi7sUye5y7ffXkIPTQ9wVoZ0osHTZ7Lz7auPTlQNyjcyjOg8F/HdP/gMqK8
waZPVwA78g8HOZKoUPzq9RBSRDJjB6/Il+XWwa8/1/ZlfNdXef5cGs9r0AMkuZHs83KlkOVH7dDm
Q6iDsPd0RTmn2XCFO55BiChN79ev9rOr+P2rvVoauKTjFvz1EDrjpMJASr14LJH9Z3lDs3wzXeb5
469fUmMj/eETMk+2TOIRYDC93sqWJLecaeK2UxPLuCJPuXgXiy1bql6dA2HGnDrbWxvlB9p8o/vT
AlF1akz9MMSyDkeA68EwI2CQk918mmeQy4tluJ4GbejNKhfYFkm8U/N2/c3GpP54G0EaIsGUvDcs
2j+sOKejAV/33EbpNBi5Z8CaJ+V2NsdAUXTOmh0S2YYwDQxXeRNopJZ+FKs90yBFOo5gTCctIHav
0IZ9fer/5co0f/rWNnk7d7jJ/7Y//+5myNzCylez6MON5KpFkD5TAgZ2rWP1cPLi7u2c6tDOJwub
CXyr6jRXmQQXVQItKmfOjKOovNzoMq9dMBLpahP5EThPzNrxQtWlSYKkVuW40m31iSQlJtze8PD0
798NU6q860cnIrEC05s0FHsPMQfOC2A7ap351OcSfLhSUDRFuFLmwjxLjPztMDk0NjHS4Ghf872k
X8FooL+qXXs94FNbKR/pZxMoGJ2LZBHvFdmOYVaR1h6Zy1O+6Le9g0MO9DvhrFbSX/GTq/2vV+uP
N4jDXgPnxzQIVvqBajp3zABMqrsw7ZJLJQfskzriqKbz3bBGm9upVP/xLckrQvEiMHQ7iLivnvQu
phIHW1Qfyig6qp0RoMf6hEj/XOo4UHLXuv/1J/zxgbuBYQhRcRFtUPq8OqoQ9jMCRBz6EOI6MJ7R
mI5xPaGN0HBd/fqlflymDsF2liYs6H4bXe/lMo0HOia4FnkKOqN5Viuteqynwf7NBfzpqxCmSZmi
b9y1VxewRKhS9hMXUIH8JD1cXMoBtZdz/esPo/64j/FpHFp7VIsqSoNXr5OnyqpaEEHCeVZrn6zo
bG/NZexbHZR/A7UgJQULnyZ2fJLOe6nFYW3k6e+2Jf2H7XSDTxACh/wVPqPx6vtr29pY09HusLcX
NiNLt9hHU9bvsTSmDmO21TiSZesGUtSfi3qyb/M+m8LYFONFua76ycyxfv360mg/fU82ilzSZkmk
fF1xxAbg6yjRu7CKh+oICyhwxTBhIe7by4hcdTgPQ/OhMLmVC0KRroYmXTb8iua7TlUzG8Pgrc7j
Ze7MOOCnjzgntF2b9s2bpRpSr+lT8wD/aDpVS3GpiP53xcXPPwDYR3ghNIjpD79cqZEKR39xJi5q
stzGEvgEIOn4bcIutmtaO/OjThW70rZ6nliyPMHTe3BS+66TGLOHJsIFjZg2SASy/xqiP+S/9TPI
g+qkO0wSpwYHARYThWdFX+xl2ja/KY/U7Wt/WUewLL77BK9W59QXvOF6ofmrZPEpWt3q1JszxByF
mJ1UsskPtIOzTBx1PLFYAfCb/XoV6D9dBcxMaIADqkKq//IigpYwiIkYujBTkh5bROGYj5RV17bR
IatyxZ91Mc7vbU1NPsH77oeRNJBao4GqJwz48WJqosODZRn4B1J1Kj1bG4gr4AVDGs/ZjjAu9fNS
qSpbpf3GZkZtkpTgY+1+j5pSHtTRFOcKKt/DWtcPCB7eWAsvFBvP6mu3M39zzX8s3eDHgOUyqBAs
clxeXXKmCXYeocgArFC8r6LQHrPCV1aRwBpnxPvrq/uTbduiBubkueUaQlZ/eXG7IreYIqpdSAPn
yU2diKc2/WhjXn+XY7j9pFcriVdCeugatETE68K+jeKhsSOTlSTju5x00vckyGwiuYXThLnkReEJ
S3FOkaX+joz1k6evJcDcoaHiwUTh/fJD9mT6alGGq3mwlw9R71zPdnsrjOipsPtHjryW/+uL+rpv
R/XNV2gim1SBg5oMgF6+oDsq3ZwSAxZyDK9uB526Z8Eeu1RMZfRx/Syi8q5Oi9mPl4bihtQoDG6x
9AXVyq/fyk8XE7JPniyIFX/QjaVDP5oJjv0QGkfvi8ZmeJIQn6ykdUwOyu8yZ3/y0LQQs/M1q5y9
f0DuWgRVxkgq+ZIXidSkUaPdOjjJb86IP72+sNSRyW2XF1P8y+ubdWpcq0bThZyRJdiPOfHHKgMa
FjnKcep07s7RGKBUtkwvoNbs6AYUwTwqZ+tq/XaP/Nk9RD3Cx6Vyhgj76tvu45FJSSVkuKgGGAXi
WEzUOHF/1aUqLqPJqi0Q0QM/wFMWpEPeaLWF6aNYxXKLVSTJUfss08WY6AgHtL4f1B1Qje7PXy+F
n7zNjX5NJ3vr/vxwAzbIivoGp1toaqm8cU3V2teLHZ2RgfPw61f6sU3hWCrnZNoUxk9I29MymMTX
53w9MEWCJLbjfSfXi2UkKAH7PCEuXVmFid1rXp0P4p9vaYiyLIvdzKaieo02TxTMaybU5RC7JcwF
Yx0DoyOti1ND+s9fCtGoYXM1afgB5X25DkELdE0r7Tbs16h8Mojau1mrBFiMYonffX0/2cT4+miL
UCI+wwVfvpZGiHZWD3x9KWNYP2L++wZnjBbwdCOxbC5pkdfJ8pvt46drhvO1gXZBhXX86mBPGEnV
E7rXhou2KfrMGZ55BnZHCq37zUshUecTvHpCUGkI5OEIxBHMvbqPnNyoh5i8kRBXi2j35I72EmOR
Ma1EckUVFEHZaT7Mzp4gQ32clD0nR+yZ62zr5U3pmCylVKfHeIy6pXinNSMpgLLKQdg0xcbOQHSe
PNQYQuCBOWaH5q9ABtRVKizGio+E6dyqGa24ozmp+0kXOmmskHzCdJH2GtSGBIIR54l6Zw3aquKN
n+EFZ2o5W4HuNol27+INJY00o1kSew0nmORsTkD+YEnOZfK2K2p1ORYQPs0wwY9tBIpo1FOJkVkJ
uyEfu0sT2gjEoX5YohurUwswUwOK9H05STyG3mC4eeVX+WjEF45dmTaQD8ih+8FsizejwnT5JCul
PqgSYrO3xFKTON7Td2Vn6YY3D0S1HgEoxSgZB6zse0Jyljgom6WS59nIcRKVrdswj+i6yc39eTSX
2a/HJRJnpQIfjL5D2Wh+U5pbcZVigHuwu4h+CUT6ebdCppZvGjNV7JBU+2y5xow8vqlSQ/bBorRg
PkVdOnEwYAcawB4mMzyR2U1RfsX4QNH2Y53vuswNKwS/dVBEW/tPKBpTo7YznbdZ0oIRL0oAAZ2R
jMx9m8ZEtjbc0OfdD6PZvI8arbgvFEfc9pU1eRFetYOyZEWgt+7VQBh51Xb7GRXmbUTM/GgkcZCv
VRpqRj75uQvQIB7Gk05gH8LK7iHLLcMzBw2vTzbr+1LX/zR0ZQqYOKHDMqQdWt0kAtdILVzwKy7Y
CYt9hnThDNDW/Gj3+OCMAQdzZY8PawvmctQ3M9e8wJQo3glBbppitdemW8pAFVV6jeFg3UGxUc+c
skgu9Invg9MCvLI0ejevuhmSOHyTAnr3mA5Gx8g18t2c5QNFBcP1gmeU33VwIPJiPrY91I6UPF1+
ya+eDdiTIU/5PGv+KvI2mMnCAVwFBC23cxgXWJCZpTvXkWPclkoCeW5yIEKsct0tzMz9CKhuSOCI
uI3iovmIfFGcVwm2e2j7EHtFL58spQWo0kMKcWhYh6gbzCOBO5iDq2g+6iKFp7fY6ANmMgfUeZ+a
jYoNbbkvxdCS3BsdbNN4kw7LvTmDdpuES6NuiO5LCzIBd2DpHMfBrvaj0mIKN5U7PCPRqSPc0rfi
2kGjCuOoQJjhERa2+gnnhttUgulpY+ncdgNjRmg+5/0S2V4xAwRbFLiQ7dQcHL1PD8THl4eqdMYn
o+sHb0mnlQ5XPqb9upCK1VarztFcEzImYzB1e5LKHOjdGovnfYkSCFJMyzmCRzmbRMa08QPCkvyy
BfpKewQxsJOrR0HmQ6DUPaFq6gp0C8lfMHNDBEROmUt37ixTPHUflkTaXestWmRMub92mvwA734v
stiJPUXjPYe2otWfwH7kzUHPC23wS0fao7fUzLfPFcVC9ZgTgAnKdBlN5UR7VnQ0adv0IAEtwOXL
qwJ8ezneJXT1rzV47ndAj/L0OGXYGk03bQHWas4e/wEwvLmlGZcQhvpoiYh6kv5uE9irKM4aHn2f
erivFhLPuN5lk5nqiIM6640x5tGTS3N/2PFsLjl8bw6CdXHmt8yZyifZSATxS9mpHyu0TD5HNPPK
rbTmQ+pWk98l3RL21Et3zmLAPOj4OYtSzEHda+1prTlPp0QpHTVD797ThdtUPl2yIoYZWAmoX9v7
JHbaTyAD8z1BkeDtWi09ZHh5iiPZUPk+hTn4HlsOFkG7nibfisyScN614+YoNAW6l0BLHVuWucso
944E/uW+TQs54FTqyn3Ouak8lA3cPa9P4/EdSaDxGjjQCx3PjTeVYS0MlM0lo8FjQ3bttgaV6RST
wUkeZ1KAsJWDtu+4nMo7NJp8RJsE3OQsBr5wAMwxvhu1eZgu4iiKr1KnRVRMwu3/Z+9MliM3siz6
RSjDPGwDMTPICAaTU25gZJLEDDjgGP3r+yBLqlKquyWrfW2qZDKRjMDg/vy9e8+9rdHxn+zE5rda
MJNtPXUfhs6Ed0l5R7CnSJJzNkrxndaduaFx5pzjlld1U9Wl2ios9Nuxnuxy58GkPxeFGLwFxuCc
eYkaXiruLk345pjjwTrD8RbvLXHu97ZqjW8y5XqnhJLsAEDPOz/homoYZ2+AoTT3wmnFu7OcMEkR
Vwvqj3Af5MJOunemcqGn9dPFaO3mCMguOKlBivduFu0L3GYTGZHX/ADIjmBM9QmXtakAL8Z0I5B+
dfID7Jpztkn5I4K8DuLzhN9LUG1jRf1QhAcgdBLmSFQiml8jmk8G27JYjwHTcg1LC7TPKsEM7fd9
hKK61o1vwoDXkzpQXYSbxMSc9fV3N8b90PUJJANTUxF8OJ/SzulRUced3xznVo/WsdYPN23Jl8ev
Pj36Wsa6GEfp/qdhQ+hafO4RRBEq7jvU/wC7mFhYTXFoQXBHqy6gibPGHgzBqez4D1Bl+6s4HkFe
Z0ogalC857SxKvk8zzStfW+ATRrDnIuiuQC01i1PeY8zk5mL6TykUEiekEfAZyWKBueAo+dXv2vF
mwWh8EEjRK9YEeiWnGe3rLArY797KeCpXHxX9k+6mPJrutxus438k4Nc/trYA38oh44QgOwEggBb
9mxLrpqfJfNFj7X5S1d1utMm2yFlpvWjq4kW+dDoCep+a+Q31iq/UkhPj8QZyA81DqjOFJY9+KRl
Mn95gjZfGPX4Ylf0WyQQOhKCq9DVapw8dqZKLUw1N7oS08TTLXrZzIdyGMiqSHqeJAUakKXXtXnS
WLOSc5FntRGWhqovmpXRxB2IIqWVKoGsHlyr9qswkN1Xjd7RYXZBOkJTjs0XJDDjyY7FuB5g3X5i
ByIglVevuWe1UF+1mYk2dM1qznHOOP0nCDBFZsKAJFITgsvispPLnT7mRrtaUmG+KbPQrkGns5p5
7vA5Cb+5J2SVxn9jirsO5MbrlEXNvdH58Tlym3TXBXgGkD1bB9axgAxAn/e7wnP93CAH1O9bzZes
8TV4mANB4lw8mAe3nImjregj0Fg4ozz6pp3VMxC2/O9K+t1dVIp4NxTFsId2wa1h2zxZeEQwFXtx
enFtueSJ2vKxFQMgL9TYHfD1rZACvFY0COvdCWJna4tChcKG1mNaE9rEwXJ3BtdrxUSTdE24zCTh
WeV8JSxzulCEkDSPEf/JLGIbdkj9gD3yFqgkLpMFnBN1bbse+yC7a+j/ANYcjlkJm1iAoDzrY2nc
JV7JugG5Ew9Jqt0SHC3OAPGjBzcy60MwpX3MoluqFbyVDlKLox+ctDsO81wQBNsPt3o8tqcq9iqc
KCiFKPUpAQPGf7RQ3wLM1AdSjadrXg/WB4nkxybVDZY0n/+xJAQS18A60tk34HrsZ+ptHV3OVL8H
4zJnqvHv01k+NFHtMS1LKEgH8qOeocPEV71Kxq03ib1bF806AD8Xr1LsWv6o3uj/la95iXaTPYeL
ZGp2zELPCSf05hlYXpbn8pBrurUaIk0/56WNs6LvGXxBuMTVPo4X7Hf6DmyVfOgb8H4W8WHXXvJH
eifyLr2OSJXGNDoivONvwPLcJ1d2xT5NvacJw+2OdmlCHUgptyoXnWSdjslt6tO4ARN0iFDlvid6
NG4HXyMYGB/GmrRqaz1CVabbm2Bez2kVxvPs3lBc2M+Z7ewqZ6q3vE4swHXG6TR2EWQG+Mu/BtKC
nydBbGNQBgrVQml/E0B7iK4P7K3D2nVTRrJ4MhzPu58H7pIzyKnZetSFq7Zr4008TeJTMWoyiYLt
0rsm4zFIK3wv6IgrwbImAKvZZUZCO36IkAHCipApkyBIl4LejrM34As4kpDPgToqspVja2h1s+le
6eDXU63c8ipuU0vhh2LGRkHm9Xel7USPhEdSZtgDIGJPx27pd+nV18E85aXl38gZnW5Eik3iFIRu
Wa1zJuK4Bq02Ao1VFYyyea6HW9fR2HZKX4MWbbvVUcRTdi4yK8EhmSkYRS0RaYiJtYzXiBnacBuQ
H/pSEhe4cwwa8LTWanYsJWg0gPAkpiSymtNMM3vxpw1A4/s2y48B8ZNXx0NAnXnTPho64NIyXxIt
6xtZoYCTdl0wHB07HIaywwWdEWsts70xacELqG9Eu9pbW1d9WCaOChsQE2FGmicet6EzXqYZqA75
1++Gcj8jQNnfqViL74UsaxYtqT16haNtraGPN53Xl/ezS8VSzK3B0DvoIKRNEQakUp/2A6SS9KhZ
9WivB0+X3h5QFGrwynbrszYS2rGqZq8+01RZOHp+BlOkLwoWIcJqsu9lmVX3ZuOX9+D58oJgdxZQ
0pi6j0Ka+nsls+SjiXSAx6bGL2xQARwdUrcfMIH440tLxcN9SznklIkL72rQXOtQCJ8dJZjEK7sl
nTtVGKCOMPFYB1B75jfqY06meZnYxzif5EeZ192H7CVNBDn35VduLwkPUnXRd11mxntOxCPoLXue
LnDOo+9mDosDZHYKvE+oSH5ojiCvwVRkkAOucqqHoplYGGQyjTWw5I5wDDsY6WjgWOfxSEiqx2ZX
FfVD4va5Q41JxIJjOPxMIKaiJbs6AMAJCJ7HqLLmLl8Pkk+5yfAsIB9FpQUhCu52iXbaruRNqpyO
c6NeDUYSjmJM4y3FK79ZaQSBHmxS6f11YgezttPmpQTomJBGmB7L4JQlOjEKbguePSTtm7ukKba6
EGJt9H1oB/CVMfFreFZjp/wy+56/2jfWjNLbtggN+XkxHWirZHgwnsQVJ3WUaZ6hiIrnPFHvrMAh
xbUhlxuq5dIUgJVSPTjox6pdkZLLsCgLUg6YcPb2wqALdDYbZyKl2lGEHbVd/eCMKCq4hcxbwzFq
+H6g4OmHtELPsxuJimHYlaAKE4C33fA1uHRmV71J2O2tqxnJt3wezF3VV9UzhBTvHkglmGKIG/o3
zIpyRmJqG9EZcveEvm7Q+YxU5XzqtIq4ee48VRrzv9opQu4J7y69f4Iv6MtwFQeNHDwWCVN+pJxe
0hUfNjjNcpCfaSazYhf0bcMAI0CYvtPJBpzCQuf9WUG5x3BR0f87jmSLA3CvOyo6J7FFdtDdliZK
y2wFN2YDCJ1X3ebAzSbM/hWWpJRA48HuDWxSwfg/J4Olh81SQhZeZZLwgjbw0cigEAG41I/MpNv9
SL7OPbbKCcdYnj4plYyPo4mN7GcT+b8a1L/RoKK8WebI/78G9fJZVfQvh7fqV2X7bz/4u7Td/gey
KGgB9MF/ogmYPf8mbUejyj5hGKimFj3pT9fS7ygQ8x/8KyxxiyCORCqH1v7v0vbgHx5C9EXkaCAe
XYYuf5Ky/5W0nfHIr91eHHhwsRakiInhymBu8ms/uygtSTSgPu8d3tl53S/0eACyo3VnRlMdbMB1
GxYW7rQtt2NHBbHC9NoebJ8gp61qCEYLE7gFQdhQzzjrBMGiBr4p7sFt/hBDF51H151vytnQ13ba
ky5KYIJjrGhjyg2EOHut4OkLUl6kodG/mOHUwi/iiNxmidpphlk/tXJuj3PWJHeLM2vj4b18jMwl
OcBmmdi0ATjTTVKXzUOct9Cw9SZgjyMhF414ZrlVmBs1LeMa7gvFsaChynCMRmJS7REmpZ+agShn
ZN26nfiZF2euM7T0WmCfiJWJshWmcqBNHspc0uqd2NzU2uhcAj8ubgYryM5o5btbDinazogyxSYW
cdqtu2HakNucbzMvzvD5clHCaRoXaTxedvCyrMOBiHTc74716LdcZhKp2DjhN+nHyo17YrwJezeh
L2/MgCtvp7ZxHFVQXjrNcsmyUeW9ror6kvV+e4bwbZucn/LqiIxGhES9RmE+JrCYkLx3YeuXt5Vn
xPpmpgZLEAOSRwSgTH82PK879bX9Ip24ezAkwEq8NEgi1yZyA7EqMZ3SCe6tp6nI6bQT7LXjCJOR
k6Gi6JY0+3SNK40toa4UAv5BXpcOfrZxaTIc6a7oX1Jzq41dGldvuJRBUa3lyAzFjvWL3fdpDQXV
tO4MTfavxiziR3aw6TzIzAkD1MnkQHehU+Ks8GDqY6OaiiNEzOgUCEoOR+/s29w2n9PRdtf47fP1
jJuY/nIcPTADa2hwOOV+1MtQr42OuIUsu0Z9o597TXrraFo0UmxtMEL9DZTpESOuXq9hjpUpFO86
2mdB5Gx7t8Q3PY4/cJxp29q2OR4nXWFcecghU00EXEplkLRRkCLCWJYmNqO5tVs59zVPWwjT5KZm
rwBHQ39WS+SLKiEfMzXRtgnCSobvPp9SJk4Y9wwgjd5Ij5C9tBebhtBBFElzdQohYMM5AYh6cttR
YsybFmlNWDATubOGhueGx3ZcTS7NYSpw6oIqSdcZU3bEyG7vbNAdTdd57Dhpx6ldx0x5yjk2Hv2o
mFK6XsZowf4iABQLdjYmceJfRxeGsaDRB0H2wTRzZ3xwQFo59OMbpjBPHHfjbKM7WXrjtrp33xH9
kTxPtkJ72htZYW2roGYvZfYz8/eH9A7ckPkcWIICpQCqTO5HZCULua3WnJcpsKrsMKIdEauiViC7
OCGR0bdrMSMOD0Oa2uNDl6f9YjqPtcwirADsymvOiVdVa3rEFfP7xAE2MguwoNRb5sTK1qdx/Erc
Xbzwm42U+6PVJY/nWOM8n2YC1LApphNfn4BkL14XWeX7mwbWQB7v5863X/uaQKgfXh4YufvKNQp6
/IN9Vx8JW7PgXlRR3ln8H/a7QwYIAJpLAuk0+lblyHNCvUHRHZpdyxAD4vz0zynof3fqv9mpDYsD
+l/t1Hssx2n6R8vxbz/y2x5tOKAqSeC2CEe0KM1dJp6/47pc/R8c6Gwk4kxrFmvxv+xnJnv0Mh0N
EFgggEBr8a892sCZRpTpImdnIr2oMP6TPdr5VbJjo7rzUQbxsVyG29golunwH/TA6C8LlbHtPEga
QLQWVSlnGCvUEqEqqPqFTR8YFFH7Q3i05pMk167sFyT+2RoBoEXqO2EhJxr7OvGyaw0SeBdoYuNM
g3iVus7vYaDDpFQb6vSStRjvF3YyJ6yEpnRPeuLmZ2PY1MjiTJY5wM9Wc42d98r+qvZBDP0jMbT+
s1IawExmxfZZm9LkPFVFWqwS2Y1vQSzmN89K5hQqApctTOKBRaHNW0JoCr05QlUW7+x92RsJRfNF
yzmWcMicXyFYtyHWttwLLWgJn0Mbk/4iCvsQ42EgssWlY6el6armoPnYM9XL1394Xi7/HH7/0cby
U+z175n4z1uwKBm4qzrcAEqvX29BSR5ypkUMUFRrBQfHYiEV5tQydaknUAWW2XRY2cwyuMA0NE/V
aPLVhOvXECpyfdgR2zBvPI45h0DRB1ORk9yZTIE/iLnTnqvGkddkJljPSbPstnc6tFc+m8tTUUT+
Lk5AGfXSqs++3z520Bn3jhhPzI/Nb2Zi7qCZfGSN27z/9ZcOfpU68KVtHSQDhSZ1qG3/L72WQGgR
Y1snqLEuo1djufsxMM0Xw7Sni+bp7YFE1PZAgDmQl6SCMl1qndpKQDTArSb9XeQGlyFwxum8OHGP
Y205D9HMP7ESmp+mqI2bWDPHc9K7wHDiZro4fvQU25OJtYahbF4BXXHzQt+n+Cx3idZqu5w253qu
mWQrveSZtjp9uNGV9VG5/WlsTWPf9ZGznyFHcfJD7pXCK9pMDvgeSr+Ew/RrIYLsSHrI+CNNgFsU
nTX+EGxBB28u2n0LCYngBzRiYui3XTpOV17K/M4bNF4mieY3tz50DoB0lUnolescTNYN8LkyTCN/
6tdpyqSw5ty/0xXcJTOlh+xV9DWniru0Ir8+uyVtgl6RX5jPMxKST79oOIlWiAsQ4TngBeg5GNsq
kXJP7yO9IWFev42YMl/8yhhunZxqe2VaIJk2TaKyPeR5dFfKjs2rlnbTWXYGF9TkbE1WNAApZ3k3
tVwBiBrls53I5j2gnwP5vg1CnWbe3+Sf/2nNwhvlE4+Ni47YOny4ROD9+sKYiLGiePC0a9Lp6p42
ekUpT0eRoEfA8B78MrSQPDttrX4w00RtgAd0DpGYJh+ZqKc74ZrRsen05tlrbKIuOGTsgPVRHSws
JYoxUhf4LfnQOozNB9z1Bff+VEdUWHrHyI9adgJTVJvXSW9zG+QfX3UGFX2L8i4NWa7m7YCKbFlQ
6/wIUr8zNk5HyktKl5PfOQ3THfgmdf/zsRUZQ8M0defbtgEhZAic5nXh6y++VkrCbQ35XGmqAZ+V
AlQomcEm2OKr9L3S811TtxAI4VL1hE30PQqFWeHQz/3EP/t6U89/I4j6KfP/93q1XP7FSIWO1AWL
gcFlebX/sGWMDaycWLXMfloBWKJDn7Wa20Z7yFTANzAyUwdzI7Vv2ZwSxOmQXSVuSdFKpp1PDjZW
Jd7BnpClJjrCCxdv+eCiLgmYf2GjN9rolekiX4asU+PQpL22/eu15//6AvayvcJqYV9mUvzrF6gI
EWwNJGvXwoUIQaDndNeImAgMN6I1KCvWmagZWS9MlyWmSuDUAQcTb3qkOzfG6EZMwVqYWOZcv5FX
YJzckW5zYjKV2TaFH30rvIZ+T1LF+H3/+rP/3I//dPFtqGK0Rk0gfLi+fv3sY9mmrbJH51r3DjO4
Ucroi6c58vctY+wnQ6XqNpvkdC5gSe86WtDwaKvKPfgiHY4Ic0BBBWZ7KJwlMgvkxrfOLencjzZE
hLbpq7PyZXryTL7/yGGKFqAc5RcsCMEtSqGgR2N/0JXy0ZIs08QezUKFgNkjTiJjZDeZDHM7Bq7P
JlKDveYz75GIczcRRsBtIa0YFH0yvaIFULt2HKJDiv5hoyqPwLDONKdPMslZr+BjA3qQwjQ2yhLB
1qrzd2ZNe5lYVbOyciEOhT1Er5XHq05NMF1+vnqcn+KPNtISMM05/7Kv8uiopta8glab0U1kUL8C
s0k+dCHVNgNw+MqTN3zaRbmsIMulId/xiD1W3do42ukDQFe+ikUIP5Nz/U0XJlhRG/Dfi1dmP6ya
XngTJ9MhH01JyAIJIUTGmCeaunLteMV0B9SFveSvHwSKRO70L08Cem5qBk57zs9y8E9lA2s16LV8
aK5gmDsvnJlCQcJb1uZinFDzIYQLvSTiCzDYjreUYuLNRa5yrxiW5uBWyV8kahugRlYwDCtIPZhL
Pc3DgalEyemn2nYNcZt0YT39fR714pHlv3s3R3v47FPP1tbAMUsP4QYZhjC9q+J2qDpnU3o6lG2Q
5XBfCquIim1hRJzGAlWSlxdr03pWwjsgR3ik701nwkP5UYSame4YoGv3WMJm5CC93n8gwGCJzCs0
fjUDtclQ+Cx4awnxgJGOJJL7She7e4bEvgcIM8zryUzVJrDmZ0MI4CG1b634PEm5khkvBLAZHtbM
JFvS9X3vB4Lqct0OQ36saYHuVVCQHMIUstmpxkzqW3MiSS8UfZ48sQ+kT5JYnGKlxGiBLknL7Fn6
CMKgwjRuvCcLdem4WqwG9PRF8qEFnnHVhnEpcBjoHHUfpo0mS7LhOEnGKysBHYjpFtIaykCWvKJe
ph+k2fHPUdcvDeQEVWjIyN621wV0t29x3MlDhFCFTC0js94TK8IRE+Mvym80PMmUP8F8z9is1jYq
bvT3sqhZV7umRL3Fyq6HWgXMJnbG/DjzICBCgGJ+Q0xVUocONpcXo1bYgWa9V/dI3CJSdohyvbbU
lnto5QH9CKnUl+nm/oGpuLYB0EFMiO9GRrxiUjZuIM8FoQ8ejrg4/BYrCCw8hWlDlUkMRLvuIMJp
K4f21JoRXPEFN/EKe6dI4ejaWIxwS1ZhQezQneeVycUsvTFkMwi4MsGs7n++SP892f7NyZa9w2XJ
+P970Of2M66rP55sf/uR30+2hvsPG3veckz1IJcsVv/fT7YL0QDkm7+cLX2d/+pfJ1vbpftM+YYC
eDkVE+Tzr5OtbcBcCWg44fZlj3P/MxA17Y0/LZBQEBzXQ0nHUXk5L//J7pbLHhNqH3DqzAOSDUOe
fSLBWmAi5yAStn1vuwBXdwAMq3YbRZge0fQDQQxzZjkjNQFWOrHy8oa3uUvpvlwTnxiC6dnxBy2n
xsnRYIihyvexIu7s0hWN/lHqYtTHlScr3iGqDJyxJn1v2j91Yub+sKsDGzEulPYjI03jy0KhVK8C
2fjvmpmjluBcRPKs3azqOlYIErzi6tDp3cWqVmtI2UgE8rQewspye3QfZlvmtAVFS7fPshnI6tq7
P7kJAbdEIpGJ5925yZAeyKvKToQSpwdvcPrvYwbK0+bM4q7ayk2ureeDzpL1NF8G7KrBGlkVUlVL
8I3hfanO38imEOsABMpNQ985HlIWlXh039Nx6B4lCp3szmHUuJap8M7slnQKYTAmaVi4sxN2qMpY
04IpIItN71KiCp2uA0ERifklmmsCIfWAoAe0rvGDZ1uwD2Q901ic+fiH1I2SGzVO04tNxpVDX3HS
AfxawyYgoLcKdSMjh9LD2hsT5GuJZ+bnGETiBokA4/LyqMlKXxRHPo7CMlJUxvnoMYhE3t1AIk5N
+FykoilyIaRsf0bpvKLPbtwL34R61sxBTq0DCpc1Fby1kTrn85Kw6y+vLWz8D2m+l6kNbSrmBOlQ
tQJES7z7RtkTk+0kj9fm3NX3uQsvba7JBNXLxrjXnGDcVEPpHiMbbDiyAMf9GEVgrCdGNncY3tSi
/61LppTxTPNg21SaONHazuZbvep1TxzN3B59aLNOJWkpciFsJu5DUomLnTdJfUD3bNgr3UIETsvQ
T10UBWQrn5geoIqnSuWMDq/HgCmyLhVX776X8ZJFaAzeQykqmpmeNgXiqWgHrwHPDtBwTlChrwgP
q8vQmiZPrl0zlvUxq6M2OLkiTj4wvdAfygoP63vhz6V2Gpw0liGn2PpOYuA4USwk0Beq8c1kKC+I
Rx77zSyqcj5M8Uyrmr59hc+icPWEEOoCbCmiMrImO2PujHBUsdbt9SUPoorT9MJR3CAVsRmWaUwb
lbzZlJyY3cRMYhVagJ5Ei0gMw0mptG/oktpWWNNDtdZiKAcj1CutRdW9bHEXl/EtxVzZl94t8L3x
rpCOvmtzcpaT2IrptxpLeZp5gIcLzUvvyCsphi0HUwB4DkiIdl0WCA/MVNYIvaYGKpour4BRQBIF
vfaDiMuKdwqxwhT6TjY7d13NtIySC3kg6vS5fpkomuwV8PzkG+W2We/sSLQVAcm4GVdLoHS3ZyWa
H1CcMrtndNgRQVsUprsr9MQcD2STW1g2Rfs1avajA+74RES6VA9Dbg5iP9Jer0kUR/zvC824saTU
aR5lsPSqkfeRwicrN1nMaobrAtP/3GQ7NVn+MdN8ENT+qE3TaTLG+sazZKXW/KV85/uRXHzoETo+
7lW9jRkErQGAWveamPVha/VwfTGRmTe1S+Kg5WdasNFI10jACE8INJWdrnULnMuqy5HyvLfI4t8y
vdMerbYY6CkSHLNpmZHwrtnTsNYygjhKw9W6Qxsv4jOrJ2PZTTDb3fAf2NQvGrjrFac5MUNn9VWZ
HG2pOcTzzDZwAn2Fn53EyKknX9pk+BCvHLeNgXIDr94jOLTqTdSVY0yolFP29m1diR5IXhUV34w5
tp5QTD/bPMJo8KlDuTeVbu4hV3j3LuqKddxF87ozk+bgBRVR6BVSpU2hORH82okGEDEm9l1RmjT8
y9YrjdsR1Nyt6hSBxn5TWy9NN73QRhngnRPEQ7ZZGhV+OAx6B496IKbntiQx607NhryW5HC1Yc3+
Fd8zvIlaE3w78eLzvrS8znPwwpLqQfdDsmrc0Xoy/nm6/m899Tf1FBYx4y9n+oePt+SXWI/ffuJf
5RSAKNZYyE0QSl3GAv8upwyPcQCIOGAvNIqpmH4f5ZP3Qc+YSb7LKRCQASXYb6P8n8UUZq6l9uF8
SKn1n4wJIN79uZjiN2BTAVKF6Maw/D8XU0bUADyP3DtUJ9ohjqqpualQMKKN95FUezEH/zK34IUA
4yseVCqc4B0G0GeCo/nB9nKLTKLa+gaGbnrOPS29wWk5oT4xfeRwonJ9kuCUDGrCkdTcXRH/xQAs
43FsHvWqichzHNLCKm/yIJW7YSiyjO0xCZrVSMtli8C4OpTRzGEy65sQRQD5dGVhr4EyOFt8WMwZ
sqC/z+FekvOuj9GpsASUu97sdrM7NEczaMcPZUBELTv/ww6k/lqMtbfTRSq+U2TppD2WLpJi+Wa1
GUcdjBwYfjyT4CQ1J9NeF7W95UZpd8RMR4iUvWGb6D79rLAFYzq0SP17g+BHB7Yl7S9g7GcC0s3n
gaAo0FyC93oC3p8m+nUGDHHtSHBd4658Lpw0eJycaWbkAQdUmMHzNPnuZtDnMLKG8p75QbO3+9a8
a8uSzrlvRcR8koxSUsgeHDdJbwOteAu6xqEjiSbZIWTgpiHWclfU2vAucy86zJFjbSkJis+yICZK
Zb7xuTQCG45yLVuvmX72vdlu0BxOL47hj4QbpOxEjfBjRNWF/900e4z1XkYMvF8/l2n5TH5gekuk
Ge7FZBzwZQPupnFZb6BbeKEjSMNcQVMfFsnCgHDDSoPywVMTdnFUluKwPJGPzSDdLWpVtHZRX+R7
vP0NdQu6Aj794K0rbRisnU7rfsYEuIgg3NyIr3Zu5Jd5luocjYkeJspuTollanIF0d3hr7Cso3O3
d3ZW0H4k/Cl9GF1ZnByscqdkdq1btA2QOpJovIxt024rKacfzGoJeaM7TTxbromvACsb+O7RNnal
l42nVuEJmCjGTh0sVQ687hh/JIjDQ+brzh4QFbTBuRfejcHEoF6lnaffjdVMUmdLzCTluElSdeOy
2sc+Qn2YpPAw0NGZ+E/yZkZP7aVrM06oNhITz4pGGbqqSzO4GcpyyladsJHYD7SFt8E4ndKGD+U1
rjhKNcvHmMSMckUFkHzVvao3vl8EgLkBLLaO9uEqB9xDkmSQ0wmIRuKvjUQGkwcaWjhPtl6mB8/Q
pvLV0Ho3IsLIVvqIKgsgIe8D4POtmRruj7yJFE03qtDQHRJ3tyBYV63RjS9BbVsXLY88fPB+tGW+
HcSEUI3zTU2R0oWUD/XRd/NRrEuaeJsZE+YFo1i9UU2ATcCFS0EiFt4yxJXXAjH6zi/G/gkvS41b
rsIdm0WLliOI0xtNWPjvysAnmDzgK7k1GDn6zoGExzFiOWmHeUM6SQYMKZo36eirx2FqyJigx71N
HB0tJGEdiJLt6Dbxq/biug1xnX77jcmaew2sft9WljqPvT6yl3tHPITQhilViRmNyhEFuIuApjQ1
DHaGJHVF+PNDLgtxS2IfAzazyb4jQ2+Ym+bIKcZ2PPhzmkSHirQMaMEN6N9aUmIL/bb0NLLb6vE+
tpv2NBPWGbJ46neIxauwdiryAMuUSDIESuvYGvWDaowPY3TcO2E31QFzr3koZe+uUoPg6akSJpPY
KN6hGEjWUSq+aZ6Y8ZOaVveggmT+5ChLVIvmzRTfpX3vzU3JSNUgzJUOXRIaqZPvcEeJdRqxkOum
6oj37qfHqtDtbSOqmBbb4N7qaCI5zLIQBXBY1hGGhFerXkp6PKihNhUAZ+xu1taZdNxXNkG1B8yq
fRpZoxFUn1gcAe3+K4u0+s4moOUqG4bMAggJPSP9LVZlvGnIpwUbPAzQyaRGJ5rm5ytt2u7UlsVV
1nVPBh1aLattxQ0Whe6iKqfejpOvLrqRBmeZtPnSto7Uxo4JKy/tOg1xPvhrYtyGde8l9mc8V8Nm
9KYf/ULezlkzi1WEBipskXufEm05swtnfBaYXUPbEOpKDRisO6t2XwEk8G5YrsDK6GOySfPptkp6
jQUrxqHgpPb3vBgQo3sw+Y2IXGOFnuhtLGN7DXj7MepZ0s1xNvfO4IoSu2zkPHAUntYC2uOBRv1V
6caB6oE+a2sZ7ibXZ25wZTrB2kuH+1Hk8TMUbjgJnP5Ws1sll6yQM+fuJh6f9NhtjoHVeMfYTwQx
93kU7Fk3MQB0+kl6mnVVqr/0cYr3osAHiFsrDx2ePaY8ZrkYDle8ErSBAwMrkIqTQ+Br13wOeNSo
Z6GuWtS7WID9fTq5/Tb2u2KDxQ/dlB+dEO3muxpfEp1NCK2VwjIyCuwrvFDJti/pL8cdkTrmVGBm
9aOS/mXL8j1G41uS6mKnDbp7g7nM+2F4RfHeSqHdObK9l1bpPGBZftRnG4RYEBHmOFreoe00tfN7
r980jjc8yjLpj45bLgHc3SFBVLdt6LLAkJvzfa8Kz11NWiyPqRn1GzuN7auMq/qiFoMgpkpnAI9z
jz3GfMXMNJ4Q6zP4soxoeDbSVNsXanBOpUizo5k629rKSOE2aeS49tOkjRzO8QBv0orcZo+Uhm+I
/8Sux3l2xn5ghJMUmEGb6NPPY5ZAzuY7XwbIghNZ7CWQtlNi2+ONcPL4ZQiIF/fkUK+FwotCVJz6
wjb+LSkrgt3zzHsgA9LZdkbe/Q97Z7Ikt5Fl0V/pD2jQMA/bQMyRGTknmdzAUkwRowNwDA4Hvr4P
KMmKUleruva1KKnMxExGYHB//t6959IPI2vcL5xbxaq6azPrKwcRY0OeBmbCtmGMwDxT+/pmTiz3
pZJo/ySeux3IeHWAGhftc10mX7tx1gdX591XbcBtT6Mx2jXKVqeAJtO+8vuvk8W6Epl0aFK46Rzq
BD3j7N0YvXnboe3bBGGxnKMIh3mJ7FEPl6ABPwbsQKirW0ExoY2Gx8IMqpcCrd8TRVV5qWXIVu9Z
NJjzqQyLu6YZrEMUpO0VD9Je+E57CBnP3uIPxE6vPeOQFa7YczZObwI627vOLsZjmhQo5RQ22Hvp
EQGacWrd63DstnOBRHByp6/ECxUxzk2vPUyTtdy1U1DEJGpaZ+KH6z3tOf0+hklYbXqJhzApe5+Y
4gqM/cafpbv1mkV/q0kC+urDTzIpc99FGiVbPsh3OgxyXwhEbPFM/+E092YYi6IkUmbpAPgHshSI
RN2yvm21XcZOSVzJpATDHZxEH/iqbPT/y8SW5iP99iITi1NZ3FH3xkNuVvsJ0fzeTFp20Cmxzgvr
ABGQVJtZGJrHxDHM7yGAj82AHHkzDlD7CL5LdzAOug2lR7eDH/Tg4Tx26NvN+pIkPfLx2kZ5zq3+
ClcoPTIlSXZBPbY9XaqeeTcmiTjNjH4rp2p0AaslwReZmWs81BisLnXzIWjZkDbTnBYYjwfrm26D
CsA/ZGVT2VXsELCzT+oFkMJTqJOxADOowqz5RraBwq0v6ioSz/TsytI9J6RblpdBh1HzPM2Kq4ZR
Qxtk8UU1lfKm6PBfA4aurIDGKXL6LYbnMqCNldZbgwjSAcHirH9tMdJ+TBGfkBrB+8LPNF8NfL0k
q6r2lMyJhvWuII1hL8zPowrlrWz5003vN28Ob55Tzt2evxH6RBTJLfZv+5DTYmg2aatr5pKmddvk
OjwR0ERnb/rR5Bv95wXL7UauzT+3avtkswRLe4GAOO28JeoeO0EwQbG2Dg1O+g/mRHYA3ka6GU02
jUe3GuBKM0TbUvXZ28alhLGnfp3h0Zb01wYlPh37YtY9TqG1c5njF9uFazfT82firVA9txezbBvw
j8r9TEoXikMauQJzimXYG2lWJf2xqXhk8IXsqBrmt8lL7tICROXGrCL9pHGlbVWREn06jItJoHtq
x8VAjFrnEI+86cneGPGGtPRe2YXXkFI5YiJiGLnpafqdtSiK5zSshreB0pMzU6+uc72kT8Jb+n24
XmzCHooDoG5OX3RvoCwmauowyGiGvWNrnuail09JIsxhi2y6OIxL5J0Y9tePQxoBFZCWfO2yDpUR
7swvdZO+Jgwrb1ybGSLGDHKcHHtVwdWIvumsmJcgEu0TTuW+3iZJWwe3GHPchzqT78HS4QBrF01n
38jMJQ4hGORxvqT0vU38MXdlNVefC9TjL2FB/x5NC4FF82jZB45Cw0vZjdOHwucftzjWsKak7ZZP
VO+LruAlRC+xbDp/8OYNRw9qHckMfQuvc/ploeqj4jcIierWhr380buvoyp/7FK8kSbJFpIgYTr8
fWhYOzsAlzKtrf9sHQLAispPYh0M4N1a294MC3ymBlXYLC9EGCXexrd8vpwzs2iYXjl/LlkqbJ78
yYyXIljujJlZRAW87jDYqnqs1zrJWXiukCYMG0uaYOTWYUZL5YuuJWqOdZFYWB1hOnH+XAtZy+tu
PIfiOq/N1cG0pLtollOAnyovhPzSDFMo7qyy6B1AAz6HMfljmKIaxs3xmPn92pd0/eXDmNfhixUZ
xdGnH80vVMb8eah1q5+XySjYX42BA++AU7JHDgKJM7CDlsSvTk8XLkkXgj1IgdXH2ASasdz8t3BJ
B3YHQ1+XVB8SI5DPFaG9rz+N0/6J8O8HV//nCX4I+d/0YGpSldHdWYWmPwtpWqknBMzWdIXb622N
yEYjbCvuiDgZIGqS9KstnIMq7LNTenvD7fZeZu3oad+2IxqkhiBIZRwi+qskOR3+/sOtus//9dnQ
x1iA3BjW2X+xbghLydpM7Onatt01aKkVk2Ou/pWS65/8JUDwAEiZSBmCv14A0jU0h141XXMbKi7/
841qXwfNf1qSv/5/cjRIAQ6RG//fI95T/ZG/1+8/z3h//5nfm5Kh+ylAXPIDK0drMuAp+cNgFH4y
ySCOSKwgQcNECfaPriRBqx7jXdBcBBH7q4voj66kE3zCNgv+ySeMLoKGGv47XUkelD8/QOC1iefg
t+FworNm/5U2P9p9li+ZNlYTs95CW6jevQJxIJ5ZE99PtlCHEiE+IwEc0WHEZYqMz886cbv4iatj
C4I2wYu5+ghozd0tia6/RszW2K+jErsxPyW2ukmGvaiX+qvwmKiYcKrvunyi3V+ozrmlZ4jEsCwE
ZS2RPP4h98Mn4rSrx06P6s5U76Lp0C33Wfk6KLN7w9GijHhRFQKo0mz1O/1AoZkdGMhmDCdFwa8j
1lTUp/CKd60vy18yo2SjdTqBLXSG2LBDIJ2fSpoVYF6qaLylfCH6B7PfQr3Z2SEw4IaAtBhJcQFB
KSycg4xWwgWI9+zGKQIV7mCZ5fDq6oqIi9Iom28rBOCtQVR5HfvZjEen6i+kQk3fOOPUbyjE8DWq
MJ0vFNzyYW6L9B2NsA0vzG6g3I17NZK/CDjLjHUeTtcFk/g9q3wTbaaQMCgERlMAQz8vr6Ej9APQ
ZlJI52E7980JFQgWf3jmsapH5K/ufJjsPLi3iPRkiOGIb5osv42jRXjvexb12FAMT4Sb90AU8Hsh
73RIaG+tCnDF6lMa0mBbkM55CfVE2tTSW/KslopRqpnCOKAIksFNaAq7jjtjrl4d0Y5P8LrpD48W
EBxYXdaXHFDnl8HgYNBOuH3qOjJupoVxMUpbH1rn7MaTTpabJbXGz1U5tzJeIU9MVzt5ocRW3yPa
eiDF5sEot33F2Uq5dbVraWcVBLxEHBIIqVG3laG7NW1kLN/lSrJK8cR7hzQXbGl2MfVfC5RH1Wpq
lYxKpZOS4RXV1pFFPX/M2tL5bKcif4gWj78N5XX3ZLV0L0eZuRfLLpQJQKPJjoYzpBz/m3ZrD0oe
p9lSjylOtNjHy/9m1Gl3dkwR/UorKuj2vkkDYmM5U5jvJimjx6jwSR7rQUYYXwpG3feZm9d0A8ME
P0pElP03t22caI3JRWJmkugYITinPYxyiftYvtAGy+4DXfS3vTVn5wC5XLSzmonebFK79MHmVGx5
XOHgOriooNiQVmpI/jsiCvdWKndsVjteey3YKHJo4YK3/IuurcLFUJ8iMOHyaEqk9hyp3ORfTW2l
w7BBeTAXPs2gSJvVTW3Sl0Lm3KMqP4qJFmuiQCTgXlLOfM7AZh7l5N9bYVFuWzdYYsfJ6dsiaX7S
CATVridi+Q3VyEyIQKIqOEHMDOKytRv6cL33BMJhbFFAYAobSN2Kszo3r24r9M1AQ/7gAjVA4dBX
NJKgs0UJcTuQk3gUeV8ek54u7yZnzPGik8kRN/44mMV9kPc4wLZuu4zmk7v0SDQqKCC1R96VNI7T
2L26VTY9GGW4gt06Zzo5nTqrtPZvGzbygxhKe1vpajm0o5gfZBPa6OwrGlehl9J67KuHqXNorE74
79yyyPcJkpMdybpiS4DJBnBDTn2XXQkXRkUwrHJoBvnFmQKa3+QY8jAGidxFuf2GZIMErcI4F4W9
GYHvbLA+kDwL7yXWjB9fM2ZhYPy6Jra4LHssrv1dbrpv0dim22lxaCNMyrgtFivhlM5qPY/m59qC
D8wAk5s8f3S9ugwL1zAZzEuR28McW1Fp7s0+e9ErGhhP9GsYzMFJhO03jzu207n9aKLWhkhCmIDT
3flTUdwPsv5C4cuxab6QUmnuhdlgBnPERuhgiCdzpuU2lWpr15XCMK7b8Bhk1qpOqfFUql5CD8j8
W0lv9dw5/WUoknSPYEMdbEcxhepn2ouuHZjbgIy6c5cGbs7Xa5c3Dhf9LVGf7t6fcJ7wGF187vaN
CdePNt9YP6Jaag6GVxurspunieL7OndJkfD84CYIIas9yHmOHinBEfHQoqseSkNPMGq6jwCFw7nM
U+uyiEjujJ6yGvSTBmysaolFP+Txew7gnG1xL4HsB3e4W6CjwcFK5yvkNFrCyupeFmy3seHRRbOj
/MHrDMkrUdL8VBANRVeSiCQq8aSqJHnwIJltmEcB3mjMeetwm6LExBRHEMd7pZP3rDflg90G072t
I33Ju9559KGAPeGdF/Hg+Oee0VCsRx4dMNSfvT5DeWLwj6zA7ojuFC5NGXybNHbQEJklCFo973Hw
RPtxCqrvfp/UV6SIaMAwbgwuUtRuZMzOGmPcFEMecKbNxGp6RI0gcSdfnADeoJfY7SHSffbNrSre
LZrv5EyX4yMPYXWNGrO6h0XCAan2g13uLz3zRfMeSrXLgL/AcrA4zn0F6XxrjHN7B2Lyq6c6n/60
UT6JCBasNwT254Ej+r6fiNDmychw5VIX+DHz4no/53aHNnKl7bQdIwzlR2evn+ZjHeb65A9skbpc
/JNRQfP8zYn0n9H9vxzdE2rwt3VyM/2lSP7xA78XyZH5aWXVUDn/qUKO/E80KTkq2wQmkAKynm7+
mNs7nwBwWNjj4d6vBfI/KmTX/OT4a80NoGPNneOn/g0LvuugtPzTOS7C4O864AY4YBE69YO8/pNZ
YxbDoOogh7kkhb4YRQ8ejejqR+145Yeo1XKaksElrbHy0pQ1NSmvjiO6t6LwexbaoDfurTRAEpO1
s7p3nSF5LRde74vMtf6WDUyAT40kazxOatb/GKBJuh+xMe8SQgZeZ2+YHsaudehVEOsN/KwIqw+l
Zu9GyTF8zTRyFfSL+Mc3Q2jZMz0QWoCYpk4ZuM0TrfVqV+BnYqhbRx5uDOH4HyH9iV9rMzilAGKu
RaQVUB/pPhK4Oy7bUbXJ98FZxF1qqNuSVjPUQXxRbwsMnXcCKtVnnUpwGHOffTccp0Wxk3rA4jod
3LcMXin5Z6fnTU/17RJ05EpFOFK+B8IwHpq6oIeNpDC9KsMmisZtGQ6kfYiUDi+Pe4PHsCRAhQWD
/JKJNvcCdv1Y+ciiPJVkWNCdVMdOKMJDH3hOsIkEeonZguBHxXDyGnJtjvlUpSg+o/BMbKA6mI1u
ne0ihP8kshREFgTiKtjMiMPhwwCtwZLM5B7Jg9tEH9AQ0BHgUQuYeldqvLAPDLGdlPI8JiWJ2r0F
ps5uGtgtUkeXVYvORs1WtjGjFlEQ9TobvwrGRxUIeUSL1xwhVPWcQhLM8lGOpDx2F799ktU0nK0g
NOIG6edDE1XVgL2zru4sWr4mWJcFgoE/N2B1mLN8qUaTkcPoDuHFyhqaPdkya81+HkSUnX4yQIua
il0Fg+SO8RhoYJ1LHAh+yyxj0ozLkeUN56EQBHD6mU7vw6H9DgVyHo/msMicUHGn+Q5OqHI3EFar
aUNg/PCt7ig7jrhkqtdk1MUJS5fc4VYqVkyjr95bK+JQMXUKEVvt7SPD6QKOHNLZW03EwUsTKnC3
DH1avEqzTLR6WFAwNhXTYzT3hwDf+eNE8vs9Y/jZqj64u9gkYliZOdcWKwS98BtMQ3OTX00/EMk1
7RnTCquhreYOimbqhEVntuyXNOTvSFYDfrU8ub1Od1NN8ygeLEvVx6S22r3RJGJT84bGKrKD8zwA
vAT7I3i9waJjXwSbVaJBrmHTkYfcoFZtRSwHK9kXWbkG2CNAyzGMIYZ2xLYqrYs9RHSmTSvY6MaF
mx8dq8n0bpbWTXACdHjYzXo++lpy3UfwXEgI3DnZ1mHHE+jW0rwaXjP7IGlHAmXBO+zJXhzOtujE
Li8owBwdTTcjeLfthO7kIL1xRE4nFnnxezmemcSIx9mq3XqTNz4C36JGAxT1D0vGi1k2xfcldF5w
AW/8Kiw/CGN1t1DUUFWDznk2Rru64noJ4r4mLjLXnvUE8o5VK2ROwLmE1CfTp6RlqJBtiilFPWfT
qVRjec9w6DVyuypOgRVujMY5FkP66DMf3Qk8IXEimZwVuam8DefP8NgtPiNNdLxc7WZ6xqWYbU01
R6eAdBWynHxm0HZhP/qwC7csT+WOQ4N3QsMgYGxG1Jip24+3HnXqTuqC6Rr97c8IkV3sRF6xJZ+s
Ip4842w0DsEzPZbx0k5+Bc8j7VlTKFNYK3MvMb6ZkJNocpTpcmdC4KTzmRb3i2JtLGmzHxuMxcfR
iIqbyTIizYky1fvEXghXquFVgNYE1Z6X8ipGlR8Ilw4vZWe/YwmfNwx61V4n4PYwjA471AomDWEu
ygN4KlomC3HDjCIrrrbtFLyoFGHRtxyNMdfcUbnkJgCLxn5U3+Re1t8VfUi728RKh2B+4SBimzsz
xKFTuMG47/pQfOE0Et5nQ4pVM+X2fylQbtneyCC31PWdpQh9mqvUfEaVU33vZ3d4AzjiPgUERT9I
CeJ5pvO8r5C/3CoE61AS3J60azobO7KGKhbdLB+fctdBYZL1zjui1fnoOHK60basb0Or7Y8aKOVd
33uwlgf6Gb2Y5qfUEmuwqGHlYBwjKnMOaze9R0PUzNBTqqIvmbmELJlVemdF0NVyXFeoXMYg3JQq
DOKUNX/Nb6FVkgzZcjarFhAZLSMan1XykjG/A93Rev1Xyj/Ybouh8htblf2xtxPZI8XWvwhyAWOc
cMuzoxzAeEkRdJuqyuGDBLJ/YYhv3yxIlW6WqVGMunwTRIons0fPH60n9Gf2fmmKdjtPkmOSPw/Z
51a2/b2z+Bjv+4amGQuTPLKj6/cMat6zk7lY73FP6x0zc+Y/trugeB4HyGrDwzDOfcH53LGG4Ysp
/bW4nTnClOaX2Uir+ogepss/Y4JNag4tjT+yE5Umc9qlIXUba8IodqOFoGZ2lBa71tTLRzgof5eU
M8dgfI4BVF+XE07XTckmzebxMJniGRcAgPxygjDOsOnEray2ALuqB4Tew9arg/OYGu1WwsWKfxR9
/6mP/1V9TEfzb61Cl/e6f+//1Eb+7Uf+qJDdTx4xywGKKY9wNNuiSv3DKmTan6C52JS7dHMhAaCh
/aNKRmP6u5rVIcQ5QivJmMnxqe4Qx/4bVTFN6P9VFUe0wEJ0MJ4TkuD8FzWrJCCmKlLtX4Tdhla8
ErHAQVsTL0c89kY7SISdS0JXCOxjk1ybemYL7jzToHOwDDyVTxXiI0Oc+95njrQzsJi6yTFMeKLp
mypmc4GsFoC+GbLdYC86Bf3nOoB1w6U52wHVARp0Ju37oa+Ef6Nc2X8r0+lhcPMAoI9tBLGb+cG+
Qgw174nmw5KzzE9GuODeW4YsJ1QPrY0pN6tKcTnYVrdC2rVVQa/GnoIGruvz/ljJcJT3KFLLp04m
0VtfLQ6ndjZdi5dMFe0FdnNGQ3mOvhgEsTX8FbO/7DTe3/zQ0s4HgzDXYuc0eXhXytp/k7RqGVc1
01eGxew4nGn3zYjJB1EIGoQCji57u0NKBxItoz2Ui6hOBaqpr37vyS9279AuhgUWfWui8Ful52to
dqDvVYn1g38kt2r0HSjNuXnER2bthsKJYk1fkj8D5/thLCCuxuY8E1A14UTaUIRHYkPpzJLoJqRV
TZanjnjmxf1ojf2rzkRysrt5OixLMD9EvT2f2RjXjjSYPWOTsGAfMcLmHzwP3kNRoijdqcY27hDO
hGRI+RiPG23R1h3q5wyXzGEhXOGeLTaIFTNg6uFwsG9dT9mfDVAh7saXtnPXuLDKopZyWQRBcFK5
tYBb8Ga1zUd33Fk26dNYldFBoBjeOxO8k8otCALHvbt8NWbR7sO8Mg4Mf5eTixX0G+3q4JShSHla
zDm5joZsbhqYiuLgLsSj6XHxScXda+UOODQ3f/ybvp+rsltMD8y349wUAVu0VBFQ6HPR9ulUn+nt
TRWJaiRoFNGeLgSNFVS+IMQmvMHLDqe0ZX77z4r6/5nMsYqtIYH/92TuCmMk+68Y9GqV/3lA9/uP
/r6yBt4ndlA/INzeC8iiX5sMf0zo3E+OzVJprjPctTeBOeD3lZXl1COPEKlGaALQYAH8x0rrfOKP
MlSzoW2aWB7/Ld9AYP5ljuxGlot1AckMECNE0QHL+88z7oARFU1qaiINuavd0J7NAiIOUgIzbNVR
lZIggTMvNIPMPxE7kbqn2q6jMKa5Rjfcnijb9wz3RLlrPKb0R4N8FUQf+C6FiarcAcuaeyEatcw9
tSjArsA33dPgIrRgnS3kW9XCc+XNQ63JuB0j0A9YteBwfROBIX/DNte+oaJMuh2lHCDVCUfcjZXZ
7nvdKesqImEgsCW8xN+MjR22BxswILqo0lh/xEmAmNIpn+/h9JBx6oBuADlt4nge+lA/ptqLXgVK
zceuIFMgKQVoCKelOLpL7bpszg1KxvDsR0H/0Yew1qta4CGystqILQgSqChWoOxcabir5RjxNVrO
K/7GttPuSLac9Wy6lvce2FrfN40xHtEeOi8LA7f72mlYtxwTlLBP7MI1tSXfvw3S5LXwqR1jKXM0
W0FU9KTDoUv7KLp8Rcm6jf2cI1N+cxJpqo12Ov6YS3jlRTSe9z6n/BxnBD6AZ0182qnibzMZXT4X
yeoJHB2fsAw/0nxrt+TvDEunfasKk+8eVd6C0mwynavv5uJCrkh2dUqjuAkV7P0Oe8FtkeQK61pU
nuqc0zL6pPV6EvaE30BoYfg4xFYK0m83tDJBM9L3TqJXe1zvsJpBxXNL+/4LvQfsFVObAHzSpV0I
tFtVmT8YkPwJLp4LfksLCC/fhP1KGybhmOsyFQafkcEy3pRpdomGCIwgzQ9yEOwrLUhg8zN0HtfZ
V2IxGpbI5XuWjFwJU9XR61xhaF96b08anI8jLSHTZbH74iFQnMeJI5HkY1nCfq4B/b3pbFqfWuZv
xFaQ6rxHOsVvWpDQUNv/RnBYH6KB1JH7zAcvvgkGxdNgdwyQ0LEMgYN4BqZW6FrY0yqcEeQLM0B8
BIAETThRK+4umNrhI4AvnO7MoQW4zkAPayfTMBjzEG7tTcgJ09+URVvPZ6LWEPCUNHQEGyH5eRs2
q+imwTHsHn84Cw32ebTZk8PnzpcxXzaCzsgjyVWkEtWT4IlJ2Hs/NAzEFNMbtEdolDwnM9Sht3G9
RSSxOCfBnOyNyRC/bJAmDAjPjnYBaOXDrJgNtiip39CLJa8/HmFih7i+Zd9cVrnntVgf0sRXGmHa
yCWZ7HS+1ymvgljs5uKS/lBiynGjV8deY9mGpnVQXNFD6BB1m82lIn+AJ2B9JcaKaA0wgly8ORu5
2SYLR27l8o0mYHdEHYpH0ec89OxOTfJqFKYyNi3k6WZTSBwSVbcqwn0KqR0SLRLpEWupzZQLvo6Z
u6ffzIGSbZv3wTR5wAyHlxyGB9cn6VzrWdkD39pcWEGomEFGZU10MzUVuRnS5xZim+aRaACmgZww
wg4hVAAP5b6Qilm30fUz6yltwy0HzODoex2jsArGsCfxZTuouZF0NiXf19FdOu0XgCjZCmHlDbM7
wQdaHFYsYTdThgVJt7dpgZj3B2vboU/3WEYszyGxyhGGy4rf8yNioOSMuy0GlgzTTKxntFY4sGbh
6seWBx38DKfJt9JM5DFCLHrgBGw/B+R1XIFvoa0Ms6Jbnvoo8tyjHlkiQUJEWNVLnig0Udwoslms
Z+DeS3tOmwBau4O1K6NgKWCAm7RDR9cul1hN3KUqh4Hfo9MmZynBy4Df2OUBp6LltnZ95b2bE0o5
/A9kNshxtp4Lb57mLV5+p94w9uN5sfqB2SMCsrcpUrwRwpfWNW8i61kIi89DcgGpQCpan5zAqpr5
7BYdv95OYXynJWL1PPN4utdYCCrq6LXLPau4uO3YHUcrIPfsxzPv0oJCCD7wnWNbrs8//HrrOuYq
evU8K+B7muuypyZLDg8Krbne0/5kfev6Adtx5qzPYzT3YdzKMHrFOMeN/G1Jo8ebiy0DNh4lD8MK
SkugngYlnzt1EPcM696l072rqjIq4nHi8qLS3P9444QK3depHjTSc+l12f7Hyto0mYWTJwvlq5U7
df06pelcfvboDGDxd1fODAJBsmmywXuPqinaYcQTD1Y22nGY1h/QaaJT165O3FCa6+acpKzA4Aet
67TgKkeda/IGh03YWqhUstrK7uw5m48sP46YtlaKJB7GeFMT+EECfHQRMMLpPwUJFnvOOlH1sBTV
r4WZV0EYV4ORvrKVdkeYNIJbVNOT35RAgq8N72S3zVhiQAJMNj0cR3b+R1OL1ya1unOUaAw9G1J9
NXWI0z3bbngia5yr2zPvfabL1V7YY8J7Cz9vwrurnH0nQQZLyxquaGuh749Vumplspc8kFDE5jr5
Kmm7kuMkb3oAj3EHtMcMCt4BJumWMKbjMMynPhvbC3g3SPL3ZuY2MdFLMPzGfdv2cm8wOrpvXewG
InhM4HWYn2e/ag32iUb4hIBbjWBV5SzluL6/XRxzJMiN7u8WKMdSx0E/ePR5pFvEbWOLo2VBLqJF
3oaoycvV/occA4ICivFRT2ePdnEZGwGaaiBSbTbvZx94OjZ8Iwev0I/rxBxC4IUT8XIXAqs4k+vG
Npdric2Dc/RGTNYLPZzm1jD9+o6IrPAc2AlPr+VSlEAO2tHwbtERoG7fFPjrLwSGmbckYZOIgUlb
v1fk2b3MgXhxC47UNxXSgQfQsPUOnPoUModAVR4qR9ES7KJfMnwlAHRQDOGHAWnuYZYLO1TZhBtH
R1NJtZ31IHYIAnQWQ15kmu/0xW0I5G6+5Xr5H8UQ1mQmTQn7eG7u0nx6iaKi3WNZ7A5BMn1ViY6B
KQa/pFLPj5k311urkvbeKQMsKoOH7cTksvpR7e88LfQ3pLjPBlSpjQWv6zbMM1h5pLXhKRjFvpkN
95BEKrhp4WvtUtk/SwgBBepfKqNdL2RzS/YkS1QpqE+mrN0BPIRQJTAg2H1nHD3G1KcyGt2bxlng
+xDevFOl9J6032BAlDLcEXBQbgpWLM7dorxHfbINqDqNpbTu2ARmSj5VY8ox/FPVOfCDGIY7tVMf
8Ut2h3DdIZAD45FH83/0Sm5Yn8/GW59oBhVtF90CEX0Yc2Ijh7o2H8uuCAncqIYXW9sGLe4WjYkR
BvwcwXT+L4OqIuoS217OA+DCQ5EPzRc8JzQzMURwoMczVz6vyUTHYHIMZiYSOZpvBdsydPdYCOZ9
QS7OaUKD+G6U4os2JGN0vD8iVl3X742Ax4ZAFI6vaCbGAxD8LPbCUsYs/ikmLOZrSZoNJ1V7Hy2q
5509WBNCFLNaVysLKXnnvCedyeApaXq4Iw1kbhjBVIK5WW/n0ix3g3T950SyorDyr4OOhiGgkdvB
0ezx6ZL3NW/pNMzctMqabrB7QcprwRMween9sOPaDZ75qKaysnaphwt17RotunjME0vDLcB2Vx2D
pVfpB4t/us8KW5LiZhHUY6ianIMsWdC/pw5CbD8zWJi63D+G5Ti9GmVvh2x7iY3af7QAaLUDJ5BM
7gK/a27znvcid4bpFZBodVp8AlWibi7JAByW3ZiRRB0VQb737cp8mVId8og7OIOMc45onIZFOQr6
NxHDsRtmqddMDf1nYjTHi+jCW7+sMS1SDTwJtIAkZvYrdISzy3AupZzzzz3TEfMENioazoa0Fhsw
GIiePbzHUU6g2w0qp5SDW3KXDBFNuVY1HENw/4VviaxY1JOimCDSGdNMO37jWd3iwPUqMJvHduWS
kZASlDAx4PAAfLyFILbk3h4ZcsZhjmdhH0yJJy6S0Zbclw0l19b0MH7z9NhEMXkjNWjWMVpZc1Mo
RHzlsjflsq3ms2ktUK7tycIxGVWxkKDyssigPvvpxP9P9OE/ZvM/abA5O3OeB7gNHdYCef3XlNtA
mW0nOpkdWz9lwyQnpqnGDZjwLtAr5qavn9qMJMjTjAmM443T4L1Rrq0eRxcj2CZTU/RqonYiEPrH
Nm0hWjwYOTUdCRlUE3naUwIkROttuvXoie+BUBESPzi8lQHy1duVhfrxW42cC1gV47IeSuq51Y+A
LhGjqgIG4LqtvKMDjG7qpQ9Lpsmk2i3x318O+69iXy4HwnwX3QSIBPJqV5TxT1KGzDJkPoP9PDiZ
xy2xG6bgZ4xaFFG15tPzHBKnYYfKeKrthbOcJtPmPZ/zcXnSEbkWT6ljUSx5C1GCReXyf7lY/FMH
FRK8H6dVx8YfBbCM/KCbET1qfmyYZQBfDVpFMJGS3XGZBX+7h5lObH3yQnoShBzx8fdf1kKn/bNu
g3u/Sko8uP+2aQZWsP73n76swr9sOEZYHQkWwYkVzRpLVeaXiBU6poh85VbUO1/38l245fzIdFc/
MgTj3N7o7lHU8l9c/hVm8ZdP5FO5uA5hJYFjsXn++RMZnjSWkd3+2BUrzo08U/040Eh67WnMcBGM
9dA62aSbuFbAXF1xKgAk01UHq2Mjjfu+XU9OHEf+/lKtt/3PbwnwbDe06TOhtCHO58+fiyi5Km+Z
Wh0T5Adgd5rG0Z8Xdxn7L//D3pltx41c2/ZXzg/AA10ggPOYfSaZ7EmJesEgWRL6LhBov/5OsMrH
Equssu6zH1zDNWwmEkggEHvvteZCLzc3OxfhldpUJZFNHmw59qg//wJ/8Vu5jBKWVhcjBb4Fap7v
f6sh9kDm2To6iBHr5oromijZdIEV2kvqAINJjV5xnzhJHF3oOpwxW6JPu4pKTbKe2VlXhBxQfP38
W/3FZQkc3xEm1S04tY83EOO1EAsUYWN0wallRzbJiB8rSreeHhLeQJsCoSuA4WyMPqqff37097Xp
w6/C4b3lP1SqlvthwkKWU9ahLuKaTDkdg9RqJoK7wJwVKT9IPAmDYnPwnQds1MbRWqrU0qX3fcEg
pLavXZySGdSITEfxQS+NprqJyvRbi0jzDkEE+5H3L/zf2d7fzPZsIMo8yT/pRH8d/uf8dUzefmDX
/PFnf3ShKcwA0WAm5v1sgq4x/9WFJuub+Z7jmS6ov+Bdz/Z/XWjJH2EfCXybEBDpfKeCcyx616z3
PFYYSWykdb8y7xPLA/jdzYjfhMNjtHIpm/GKfLwZGwhI88Dtc6nsLple3MplPle6UrtMNSBpBWiF
1JBOh4RXaGEcl3gIARZeSMbYRKztPaNFbewwZlkbZi0IYp76+WJEBfq1UbncJJio1NxQahIluvTQ
crqG9zz7TInoenW2Xbe/EbeEtMOcIhA/xFHPaRxcE3Wo5W1fdb3lsCpoKLv3Tklk7drDJGg+585A
mNtqdg2SyVRcmRglE7LC16MvjZXdFwLY8yqa2R7Glx6K3tq/jzH8VUTnmL5DqJNVuJpNYsr7on0g
bNLDQZaihzU/JY3Uc7cv694HhdWaRWle0O7Kuu1sNm8oltRONvV0I+y8RGA7DSl/6k3G/KVGe5ec
//sA/iejICY0C0zp3z+AF3i9urds+nG8/v5Hfzx+PuBMGfzz+bK/M2kF/xC8Epm4ywAPt/WdBNUJ
/sG7MrDgRzlwvHlM/zUCguuJO4v5D6QnDyfmL0lQrQ8PH29mEw2sL1CiQm237Q9vAvYTsSItKDr1
Fq0/ROOWvB0Ib2PcWeo9N2Fw6s3X1BjGY924uGfTyg/u2O/rAzS0fu80VrPHZmCaf7OjoW/847rA
V+PkECXwjrRdy/y4dRhbMYnM9r2FiVlX10GQmdf+7DH2Z14uMmJyqvsE0J+7TRQRvhHGFqPusdqj
nQt/88vSum1Zdxo6ajQo5KeZTszVFDeDZnbfWs9FHGtPbfO+JoS59wzaHgI6+jX+EL81oDNow4fD
F84bl2QlHdNGGNxsRE0kM/UYT32EisYgA4GlKG/uQOtRUSLKwZeAwyk40dezFidYuh1V8MCgP1Yd
UAzfuSH/rnsMKl65g2qKnjYb1BOGLmnzWkB5viO7oGLz7tJYXycsKxMTGkwBAAztOD+BLMmJy+4n
WMdp5+B4bkgiGGgZszQ9Qeg09iqZ1amJUmvf0T95S8xYXQeFGDde2l5g8z3V4DweZJmMWHPHaS/b
TsMOIPd1NHpjQzQWw/ccO9FV4zoTua3xziD5AzkbtNQ7ww2eTSdtqaaBt2zmLI8/Azmv5crsxHA2
sB/dzl0WjLCjp3Y7JP14Gcn5nsD1/FpNXQKzKCgxrw+eFe38zHBfVQtHIajjljISxgwjKkK070w/
q+960BtQQf3iRvSzhO3iEGB5RuHWOo9ppPDMETVxzVZyi+bR3jV0Nx8m0ySMBxb5cfRqsWdMUu5q
qeNsbSmvWzN08xamuXUYnbAmeiwwVvRmgJeYNTmLs6bX0ETeLVe9uYB3pAjyys1TROLBaXkvnmLL
zKNNWJr551pb7UMl0UA2gyUhPnUGyluq0iuntMdLpzflbxHj050b6maLDQ9Kj00UKFHwamsnlQam
FffubqZQbVY1zZuXjNt+5dhqXGvutBXz2OHOlBhxMQL3F2Jou23uJsHebeJ8CyqlhCcAW2guNRBc
XSiMhjMFqUpibmkInOFuQK02rWc6Ip8FH7KG64Oswg+6LRQD68WO0hisxTR9JXAsPDdkam78cVQH
l27msNaIWZ9plZDFEuKrOdq9l7JlH5wpXs9aEjuOGGNhtEJn9Vd2U0gbmx15hSsT2vUmj/KIGr0N
jQcxtkvmpZFrMoOVdREQzyq2I9fx2OPZb1cMLuLLCLnkBXM3rh4Dt3nt9ossugdkNdEOJi4xdN8K
0B/0TvJBYSOvy8sl3JbLNzfZWWAyBUgfgOTxk+XpoivuriK64P0e+aUDi4iuxa0EIir2Mqu8Y6bV
YxAP86vsZ9Jmh9Y9Bh6BjWijkZvTj6+uWAmH5z5Gt72qec2aqwKssLXJEpUFawQawwRnQskvZSiD
biMaBeurAvPRX2FcdI+w0QdMmBgXwIX0Oi4up0pqm8qx748VGWTkfrKIwP9BBX1NZi0tGRi+9jWe
xOHWU72FzrCMe9RJZZtfQ4aEdmIznEHW3lcGEk2L/l+N/PXKYzm4KGI6aasuzIsnNDHNXdI5utqO
ue2cCU9oLo1mce7JxcSXLHY+iZom31hd4m7Mxe7ncY+CYFlMgP0s1Hmw4/gmsYfsEZZl+eAvtsGI
lNVNUQ8ION9dhaLNsrc0gkJOz3rxHaLT9m7oRObG59pBwMvAApOiTWGRMHNbvItRrTy1cxdLIy2i
5jQV1vAM4wgj62J9tBYTJCrazWx4TMeixSJpvrslAbG6F3HQp7SKenUvHNLCGGh68a0lbPtT1RfJ
nZzGwjq0qo1ucLnXNYNnneVriuT2C8FfgNZcq2R1UIuhM1ysnTHpgaSxQeY8a0y1+IwhdMWryfFp
X2aIMok2Woyiom85HKCq/hvrO75Lg4jpRgLT8YyAQ0SBOV+6rM27dHKIN83scdsMGFRZG8ZjuphW
iTq1+Ac3Hes8D3mGXYtIa+JkV90M2AkgD87XVGCCtd79sHJiUrcyW2yy+NGQVvZIYC80MSDvPxtR
DvFFgbAMBbjDSfaW3Lax95Y6OLsGH+pw1ozOE4bH+piiG7sJnNjiqMUbwy368UDfnWtmApdEL7Pk
iPwymvwQUy+5RfTBV54wRjj2hbHxTRCFde2mV5OAwOiiIeMP5tG+Rg/Bbzos3mJadGCZbeYbVJMY
DBX/SHzT+JIu3mRlO+OFKxo3X5NgjXdZBP1bv/iZAVHKjSqqkTaS8l/zxffMXSqctftuh2bKgDWa
dLv4sgUoRsPad9SF4y9Oa+HEWKqtdpbutpsM8iVxYAbOblJGArIDV+aTl0K13jaLZ9vVi317erdy
R6TnhBDOFou3frd7+7EckFX6ixfz3RAOb0Q9w7HMnlDx8HMBSHLT/toA9X83md59NoZin77bzB1X
4UgtGf2e23cjOl4w+xqeM35KHVdfpsWxrhfvOmZufi+gWljaDSctvziiKfhMHO/24n3Hc4GxEjlL
cfab1rpsWc54ihbHfDQv5nn2XRjpcx8my4omQ/ZCwfbcGhaQ68lyMD+nQX1Ksf9KaijfwHWBET1e
d3k4MKGpmuIO+KK+qtJ0uqW1l+Ce7U1n47UWtgrFZHfXte1dFAy8rKngznD8Yhz3PGKXCeYqscGN
hwdvcJk5wvKDnQ6Eu9+EeAreMKk2r37Q1EiEZ4PcQreFxoYhCkolHNwAQfisXRQlaj76qSfhrFed
d6kLEv9WdZJ3oA2NWaL1TNP+kja0QPzDOpKuFbHU5JoFqfpkp4C5b3vHLdx9x0uflKNqBvHCPRBu
gyr3Tn2qeBMAJi+bA+RDd9yMQxiDwZEu+68qd/z7cbTcTdVI4JMuPegLX2UstHGwIKoqL0/PKp6y
cc3SXuBr9scnutDNHb5r+aUJ/RQ0GkboVQZ18I38YePkk9xS7ptW4ZUyooJRWWzNvDIaGXf7pKit
G+KZ4uLk17Dtok6CqSxNlzmtGZnH2k9zc11WqBdap/NMwMdN7OgLj+BEPEH/Lev+o7KOYF46qP++
rLusOuKaPtI3fv+rf9Z1/j9o/NtY1p3frYA0av4Q9wUusGCwKRA0PBo4OOP+Je6jF2NTdAUerTcy
gpbotT9k1DYfSN8cdqRtBxR+wS/JqJ0PlZ1l8YBjLKRLTaUocaL92Pdk2jR0JPqqo+DGRQKSGtad
GTfz2e+Telc1qQ+QrJbma2vI8IE5MXizogxPhkrCU8v7H9ch6UkVk+F95s798k7JcSSzX3/waVds
JG0YbNKmDtYWxt9rqyRqLFUwPMhHz59cFHfbeok04l4PsS8BEN+Utuw3DOPVmjRaNRCBZMwH1iHv
viu78W8ANh905FyBJZ3RFVwGrilxEz9egZTNGoUqUURsNccbPH7Bnj1LQA6nXs6L7/3dLXLze8vq
+6zAD2rK9+PRYqNVhl6eXOUPvW50MOYYZVl9HAzlkKWSvy6upSUa7g+vw9v4v9FXdMkMNKry+yN9
GLYsR5LIRyWae0FrwflwZjPD1pm3e449lNrPZvlmJwlCD7Rwcg+gzd1PcRre/fLpIUCT9Au4mZBA
Laf/3dCDDHKQBuw+j5DYYcwai4O8xdYqNt0oYPT++tEEHQ7GSb7ryQWe/f3RosAfkrJIoXGag8jO
JQqoHTwinH5dHjz8/FjW0uX4rgW5XE9EsBxEOmbA/OrDwUbAhjEQ6eTYxGPObD2mlt80TVGhTrCw
b07xeN1Rzl8O6MEOECd1vU1ar/3lcwY55UM1NukISfzFP55zbrVyIts9PTYdIkZSJiaiG6IwfAi8
GkLDz0/6z/cQCuJlN4zOGI/zx86PolB2tPLSY23N823lq3ajDZ7gGlxJDOkwwe4my4AIop8f989P
iTAlAmsKZWSztJ5/PMksSock8ur0WA5Nz6acXxN14DCsygSG6C8dyyU6FTfk0kfj57XMpYf9/U3k
JsZg9XFAwAr1/AY9iIQKZ6rpIkIZ+fjzYy2f9d099H4sAXGbREhpun+aB6eFpkZh73acp3mwNhW7
hVOeOL21+flxPrbFlnOiZe8vg+fldrV/PKfOy1tFLkUCjFX0KbsZ6omVO5W413pH3MdJQvjyCJkF
aN6izNxSacW/t4P/0/VnOVc8tyx0y9AXiv2HriHFWZY0QvMd+hbri9U39BtmIzqHzlScqsinnPWc
6W/W8z+PrdCpswTBk/MxBpkfE+v7yGN3F0pQeX7ofFKpV5yYh05XZIHHe+XUZbvSRjUSvDeNkVyT
hTf1x8Erx9+wpDeE5OIeP2VhCbFkcQch/OUfc2rc/vwX+qvvKfhhcL+wOwC/9eHyZMIJh1kaxgHJ
vfc6TZ2r1n2TU2aFuTd4DP0owVaom6VkFz5kZ6CawPacMgyPXVa5F4EOwiOQJucqMLxW7uB0V+mm
igPZ/8149M93LSYDRg0+vVZqxY9f1QxKGgH5kAApNqcMBJc/ZtQurd7+/Jp8eOq5Y3yTNYbFDbgP
D8iHFTYxbC6K0SZHZBJkrCRLdB/6enGBG0fc//xYH5fz94NJSf94Sd/zybj68RGZ/Fa07piynFcq
20R+2C+a224NGijDY7sEWY5Aza1ulM9GUUZ7Shr9NxfWMsXyJP64IvgORjbkgmwK+DofzjlXtWHz
ZIQH2Q1qOsqciKkVcTNOfYy6er7F0GW+iiWSNIGbitupjtOI/54pEM+FKS5aslRPQddNN1hbCeVs
G9Rc64aAAvDX6M3OedwCbYA9eTfnTvith6Hz5E/5fIbZMAJGQDi5OHAzrN6+uOiVyYLbFoN9J7rM
u0e0bB4QCViXcUmm54YwBQPVzDDfTlHodKuchtN1oUz9koeT+TojPTljv6NIDsYy/Fb4hqhPZdHg
QyaMJTzMLbJBWqUx+XiORK+EYTtzzVXZ4NaIg9B6K7vCeRyAOjSrEeUE8moS/L7lvXaHTaGBAsHE
TOMz6KrixBQw2liqT167mMW7aiPxjc6yb0NwYttIOWYSbTAkQdRBDfbc/eCabIZKOba/+RK8Zpk2
8tlvBuXfYRVfpLpBEWXoiQIOD2/JuPXtlrXTbDv5PAMYwoIQRGe5/G1LoQu1TQBUbpKB8EWJ0esh
qJzpzHsmf0InNVy/X97QIwPZLmPztnaamKTCWebxkbQ9zznZZhGfsygoAFmTA02n+X216qzpQumZ
Fcq3RuNLWaEbWVfmSPpfnlvzoUtqrt0ENpeQI9OMH+A3u586ZRJTYEdmeeNktly82XzOECfx2dMw
maAcJa/KDEh+CJWaItCTyHdXeDrFPTAw59EvkU+tDJtrWxAQ/JpHhb2z8Oq/0GZCZMRDQ8BqmBTz
rSA9CFtwpvCN9M14nUz40zbStZIvuadZmgDuPFkTeU9bZ7kPCyT3iH3w7iPO93WymUeLDYxVVPOu
7Mn8WclCz+domLBshJRe00q3PTpLYTA4mgv2OV3cYi1POQG6wOlArGLLDbYFFlW/xENkMmvxuXvF
EhuqQsgkhw6c/RWsIePBg5uwcOPc6RwZeXrK/HwbzDTqsH2O1wiomp1O6fZHA5kKDSqF9WRUihjG
ODmaviovGJ64a8AZCUlZ5CxZTjmfOhwGB0eK8CHSclu5C/rNK7MzkWfZOgyFvC5muUcHj9WzDMe9
maRI2aDZraDfAwWZYG1kxFeZxjjTdLTttYWXc0caVLF2VQmyl6tqPwVJf51EeDpSK9jFMVALsCQV
tHeHaYvRQdIqhmBFgkd6yjNfrdH85pupXzJKWoLKtHCfFTOnM3i5a4WNa4U5ctz0k4+zBRvZTjTJ
oxd6xXZqa/sihxFodplY17oc9llQmOtsJnI8nk0PK6Q7r5Igvmvj6TWo7Ze6M9ptahTOZvJgP9j0
nI6G6X9uFoDTqnfqfD2NPm+1rra/FI57wqFgrXo7uYo9gsky13vo+/CiKmX0WWOQ3cbuNJ7ivGAB
dpc9UmFPV17iOEho2+bWSvL2ZPRQ2+fZu8xkM/n1yi1SCZpuWUSi9it8j/owWRWhHkivwmZFwlN6
siq3slahEcnLTuR8oSp3HayRkz0/ihkf0DjkoOF1TwwHpI7mmo2SG28GbxmcSaJTGexHj7Qsh/up
Qp9LK5/YlFXdz9M5kwRYhQVeXzcjeiYtEnUccw8UeRMUHJRd9FlF5p0vhuEOLfa0deau2y7vH5gU
Fe6ldVI3xU2raQpKnrT8yMiSrYCdVWTPTOxFMp9hVVZ67dpjcs9SVA5gKELeCDIK5KFOKX0wpGab
gm3eLphNel1DT0tX1XZx3Zr6SeYz0RcM2q7cZvbTdQReMt1oMnbTHTNNaBh1m+3KNBM3SMfbnSe7
6JNOo+HC6caNTsLhlA6dCXGPTIQveIagXIvSbpN1zzp5LAMVn0AxwNizB789zH3BjZmyd6BEyI3b
fFJyW0wKaDNUCLMAmdK5pf9NuyNAE6+07Ae7EPLTOMzBvDdFYkCLGyDLVB37McKKDvU8B1fIhL1b
7IjT2qmqem3oRh6ooAOC0C1br2qrU19rmxi9GjXIqdHOWRaueQ5CRVQFArBL+sglW5hSwrnLg9s8
bIgED53QofhPY5c2hUIWmhBBYek8OPGjwgsUQIl4CYPGIarGfRtns72VMCWPY1O2G78C7Ox73AJA
TyAGhpHYDxIQrgcNYcskw33M4GPeRLp1APBZ6TFMG3sJeU42TtGvG1xz+14IbuygPKPIMtdhEdg3
UZOLA9195zKIQD6qmhymUDTWpvCHioi4ud7lqDVfOs0psdA0675lyLf2daUIc4Cpvo/70oamOTAa
itoQO4U5Oled6VfX2CXZ9gdEW+CAMtJyO2VG5QIC7fN9npXyWWQeTZyqiS5AavgV+Gw3P05GMH3V
lOOX2hm6W+0awNmdGpPNmnk273TcaWrpTIorKnaM47imKQCs6pQT+cfTpevzkBb5Te0Jfe2343hw
mjYmOz3wD8U4q+PgEzaC0MC/qJC8ndMO97Yb9cVrVjI92RL/1HxygT3tPC/NvgWiAFdeS0aygPbo
JZEE9CTb+kvBR29VUzE+CMQMjr4N5/7FZCQBJ9JoCcCqSYbg5WrqdROXAKxTOKMYjpK1WTGNF12y
zQr7bTAC4lEAZSOJDZx2W+KZOTO+q16lVfYnpN5MOwLegTRg5/0kQOoweNM3ltm3r6nKWLOJxS3I
GQlUFmn0quQBiEdtdqVs3zzEkIRHuOUYf4sNGJMazyYOGVeXlEna+IZprDyPoravkkF0j0YU9q+u
SvznqAtUuVpgpvlmJECExreYilwidC2L8mB47nRi3hqQVOr1n0hbBFuUFcTU+D0I1rRZJpdDZq3Z
RSF4sCe5IfyUrobdhBCssKryrfR4cMvUPLtDksMYGnhnMMqa8Ml1neexu6ziReLejAcrXChSCvzq
Rrt2xXI2gX1HEG6TdiRsoFjByGvEojvEfUlXHuvJjNqdROBdkIHBrnkp7B2z1qeaaMe3mtpomY7k
REMVXAXlJ19Ce7mV6SiZ51jWNrFTTL8Pnung8hC282LYtfHNRvpxGfoAEUU5p+SV8bGjOwaPVpng
gOmE+hLWbsJ20gzWTOAf2RiHWx16wFWz5s5zniJmtjgOWF7DPOSmKp5MUeJTJgtF9iMWDFnOuH78
HW79JXoVFAucomI1sjnZSEnsplUqEDrU2BBSFvvPmLxmuR2X2HCQ8nexrnhVLpELhr3rvOGrnp1g
Ty3vrhuGBrsM6tw6I1DUbgsS15LeWmE22/kROUtQcIyNDLmdzXS0LiZRQMi3AJTxwXHV+Xt7Iuu2
KKZ8D+t3vG88Yn7szo/Oadl/M2rGDM1MYpfX9/YpobG7belmnRLkvViCaA/YYw+sq1bdvo61+Zpp
eEXU+Lx12AidILe6EJIT7G+DBoelx/Qys8Z9RqTJymHDtaao9iA6jNcDsqRV7I7eQaB/X5tF71Oa
1DDncYDZbAVvRqs1maRhy/F1+1Uro9rWRjXvLQ9TV9EEX9RkFDs11R6SW3oHM4MPKLq3nWO8JJ67
q8KYEM8uuALWeiqM5nko5uuOrHhINY+1Cs8suTSM4OtcoOz7hsHzyQqCO2mX+5rd9LpMyVMzE4AS
eF3w4xJ2J8x2PasF+GBY4hFjv9qalf06BhYbKyNikY/tY+4pvUHzvUvxeY3MALFRe29FH9Qru6Cr
DeWSiiAauu7T7MxvI6x+D/sQs988GdZTMEWfTHgNZAMoPzuh38HbOE1AsxJnb83bvkk+j/3YHjod
Y/t8NP2+QxjU4GZok3tcVTGGmiBbq6bvPhu28rcjOsNDTw1z2XV4iVAVLI/5ZJ6Ek8jPeJxLBkqN
RxBSPKhj0ni0R4d0KSdkEI/7arDYQqNRWOLIvflS98JQu7gY78AWBL8BO5uMk1HnNHRWWYDBfW/3
9uBcMP0mOG3VIDi4yW21fJ7dZOkLTD4P612KVuwYQYkKGL9njH/parrEdJgp6Sy4SPHcZuyHDtLp
pHGlIWUlm9aoUlxGKP2RggyUnEQFrlVnh89+lIVIhz0eQI7KiAFLJIWI7VNIbWy/oiyKuO27TcXy
Qp9pmWlMVRc+dziitqHRUGNUtgAxOxMLzTvuyW/C6WwQR7UGUW1sNUnB5lVqiKTf6iWjvOgky9LQ
ps6aRD2qE7L9+q/pbA/XqTdZl6aVzTsrUtkpzoiHjwqDJnfkSuvOaoXeYt2lEmECa74SnOWJs477
peQNdDWtY1G3nxpC8zaEM3vmvrYcdWRvz0cTjmNAR6ZAZzyLxA5jAfUVqPIvHgGjm0Sx/Vu5cX0j
FMhygHLHsmbcOfPKP9pZy4u0dcIT/gqaAoBiziQk0SNYJjXvx+tr19hOKEeOoecwsyGyam9Kt/j8
/n8hZw22rkfZX8k02Esh5oPtZPVLW2hqsFHZdAl8Z7geZrY9BsUms5659O6DjIsJO0bAc9DN7r1R
TJAfY5Sx8jddRt84LxJyWpMkDsj/4CsW8ZCd8PSWe68Q7acq0ZxAkvKJrCMzqjzc5SLJrc9FZ/Kr
l5nJdx5GdVSiHG+ykf3uTGzHYc66+TzW06TJ1eO83IJeeC0o+8gRrqu1mNJmz1aN2r7rcqk2fRYO
GQE2dEVoXrIYLJyJ0AQLVLm9aI5ZaBYF9785G5dBFdUvNP+SvZmldBT9+SJQqgX5lwealgwYonhV
Euy909kwuFgbtXkFUEFcVOnMhGwWNK/COTu933dGUs67PuUXcGbYxeBp59tYY0glSWUxZHQx2EuD
4TFNEcqs27xbrkneMWWz+Fd+q/Gqkj2XjSblesknO9ulRZ7w0oqDtTGf5RRCOcwHf1NVWEA9VNNn
7S4W5KBfPjBPvfsIG/02iPF2QLWhny8JQB5xwX4uTP4EBYI6ynL5XyvN1bK8kRvWcuR07vmgLQKv
QBAKZJifY0u4BFdoMigxo1l3scH22iKXiSdyKfiJnQm/zZZLUynlbnJmPjQdjeqFVmLpAGK2+0dt
g+QJrCE89ZA8XsLYhC6A1q0mkoVHGMsWs8lBh6ewtqqXTLaIwrDCO6up7XMT1UAeWncUB5xhiUR0
iaeJMnbAaBf2QZnYl9Qt6pMOlstbEIFz6iouU08u9d2QaaDuywNrtxlp13NRvzR+wqEx6vQnAnLC
o6blWqw632hf5gkrmklHTjf8XaCIK2Lxfe1E269ji1C1WtdvpekH0DVDf9/2KjyZml9H65CHfeQJ
DLspoGNRBnuter2NKg+/Ki3wc1304bMa0LKuZ2+2LvLItq6Jhw9PInf45prKR2zIIA/2piNofjAW
9TdiuQuGmtacqAUtBcBdhNr5iPtWQ9Bxl8jZfCVnvAYI6BsVGpGaZ7pSItxUVKcoAFkfA5crBSja
IKE6DL/JsOaEA73cg8ok60qKOjwhMsOu4QNnPhiy8zfSl5R9PrnuX32POplEJmv83JKL9GXsfaZQ
LRtyRSu1jrYx2wrejHUK/73tS6AVuntIzMH/re7d8BteJ9TDAqMlCZy8mdxkaHaTkCQjwcZXxz5o
wufUE6JctQosJaZXGtwbQA/V9Hv7+b8Gkr8xkDClWfwU/17ocMb59/UH8frvf/GHyMED7eZ4JPU4
NvMB7j/mB3+IHKT1D7TZjGOEZUn2rXT8/4mGk2CPfBr9EqoxnisTqcUfGgcX+YNYUHOMkbF9LPKH
X0DFfRwqME2gYOZzmEWhXveW4cZ3E+kpwBBHNiUKghAl11ZMZwCG312Nv5i0//kQiDyE8Nk+8pVR
Uvx4CEZIy+YwmA996Kyy2V8RaLTyPS7p/13z/4+jLN/iuxOByDqOIuYosvzSGl+q8asWvyZOYCj5
44l8mC3LpHIp3TlEN99K83ZKNs38+vOzWD7i+3kHeTbvOUGIWALLtz+Orz3kpUQe+eowuD4RVwZF
TVJXt0XR7MmlLv5mwPKnX+b9aIHF7AojrvdxtitHMWoEiOowVRF7E8YDq6QAy5FHdb75+Yn91aFQ
WeCFEjby84+DHBND9MjLjBOL/ehhTN1mFaW9dTY1/OCfH+rDVH7JBELQgVoFX0jAET/8TES7mROp
U3AxVNldZrleIuJSkqTHeVw10Vjs4YdOv3pvcFDbwmuGkgkfxseDCgzttkFcxwGAjVgReAZDX9G8
CA3+8fPz+zi9Xs7PtplcLyoHvI8fZmKZY9QzmBF1KKaYRM08JBjMaPz0mNlI9sH6Nzf1ZI14tOb4
3OXj+DfHX57Xj/coyLNliuwvS9OH53mK3Do2s6g9+IUxbr2SE/Sa4fHnJ7mcxMeDYDWFp0nhA+TA
/vFxhsSlJx3YCmZIY+3lEBNgF0knvMptc8aiDJW576CrVRjIdz8/9F/dPw6kORRmrFl/cnZirxut
yHbUAaHtROtFAG1IjQmEvGFCeaDEFKsp1uH254fFU/jnpx85+2JltXkpgFH7cGXb3CBxaLFgC6NU
bxXKj2HLXsDeUtLOBxESueRAGAOv27E7b81uN7YOPwHNjv009sM+qZV6suPZsQjqa9MNCJZbWxS9
2FCGDpeB8hIaA8rcOHrsd1YfhvfIXym8ZNGlD9PSRZepTC9ar2eyVtEn9GvCavyWsCWrP3SpWuNK
iE2KUASymSHjM6HfE3E9XbXyElXRS+ioBMxcXpgYjRgNy5JGh5jis9kYHlu3HBOFyUwkNgTZJlHR
caOOOt/gdukuu6CYHxPNv8Z1TLqibN48u5DIDAriHA3YJq2cIUHa7aWb2fpxLCf3doBJujdoV28r
guupcCA5553l7kg2Rvo61tbZp7m3Jdp1XLEI9XeO1HwIe8FLOafTtpp9e2LU0VrnkJytQ0VfcB1V
XXwbpv3wFmiSZPrZwZ/uhSO3QY8pyEjmr0PphZ/jGhHXhnzi+RFdgnAIdrG+KgVZbc0EXX8zGhcO
y5jm+imwE6LER0+7tz2eFkI8ucAIuM4VHTpIMnrJlpqEhyMg1JcQ9R2NDYDUrRDoL8B7Uivp1kLV
6fLUuEoj96tuESQPk+5+g1Lw6M7214AQgefRhnztdkbyWWfA4M2Jmc9KxTxI5eB+XYrhYBUPzXxI
G1aMlLn+SMdg1k+dyefBn6vX6SizUxGI9ilZbn2IbvKi8LuYzfgQbh2h8EUhRoaWTVBqVDr9JlC1
IoyVBghOFjybvHCidUCm6NYfJ5MaPPejk2Bed6CPwgHs2Vs3Tar3Q+Fnh1Sk/X1Wzd09BnL+z6Rj
cmMQ/XKbR0i7CZzMTihaSF0xqg6Hd+Be+wGXc9WQ8rspGONsbLZNV3ogCP2YMqHdgWSBAToSWROu
O0UhhBMmYi6fmPdp2WXjikwfcW3nVrqPo8jcW64KX0MiC8g1sI3wyh4CxkvgHGW32Bw6gtdD93qK
CaSdIjgbBEG4p6lWzWUD9+TOgi929ILauwkBG+xR5Ts30iqiy8EVxHA2lEbYJtCei95k8Erv8dgo
WD5dN4LuBpsbvmrEB1i4hkqvHKMz9hWT4G8QfPxvdLb1uiXc5kIRxvEaByZAla5xCdQiunJrtDpg
FBQs1yMElb6B4PEbICGuZNuP+TaOkClYrTUd/h9757EbOdJ26VsZzJ4DerOYTVpmyvtSbQiVow9G
0JNXPw/1/fOjOpWQ0LOeRTfQjSpRJINh3vec55SAMS+LOLYfKRvM22jy4U9bmmPsfdy7ewdP0Dff
jHpcOE5yp5dKD3sY3u7G7kZO9F7a06OhwfHTyMkpUMBsrjtrHN5qyxJXoouDG3w61iPnf9rJeJm0
7agM5+IdW2fheN/hV/Fvs7QWb1PiDHf1BPtxzJL2eiT2/NIYOUmTHOBc5JICjKGcfg312n2QOEg2
LbowUqso0q/BAnABRTREsirMqL2rZ90TMJGi3FsJ13U2SH8q7H6D/sdO3bZcJUWVPCiAwL+c2W1C
o2cSyrWy2TM00C1gq97JSTb7thpI6Gpk2mzYUOKD0G11UQwudpWkUsnjzGEvXhFjzc90osTdZAE8
Y9QE85HfNn40YSUcp3xSF7QNp3XhRKlaZy50LuT9WXDAoUxENn4wxABxcHCagPIIZQQA4YvtMMlT
sg9cYGVrGgRUuAK93YI4qQ//KSglyp92qO+1rRd1QOBMwmnXfdTyHEZimMFYQSAUbAJ+DKptmcb6
/K6obHpdmT6tW2aB7wSWziRYe15Ipk//GwDyvDMRnF28l0uGKi18aBccjJu8Mn7gTkNrUHBs/9ME
iGOmhuQl9ILUupbqiilch9AOyiIIxkrq0I63FMAQMzc+La3ezzmJMobfc/D8jW3ES1N2uSRtf4qq
FGD7dTeZHNutYqmp523z4o1ts+HYyx+1a0vbptjIrt4reWYTm/c0hDj12kn13KdluW+DTuwpxkXb
dDZ01uoF/q/oYOjjcs6vujfMwO3B91wfK3lHOrIf5fqyvOdMnnV/HdBvolCVAO+vjSAF74N9ydDI
1F3RKB9DoBKYb3zqkAd8N8DnqTqXx6wxKAN4pEl3S3tsDlss6BRyR3cOSV92Hwyset/eRRqpvRRl
35XcjvQF+5kFrTfLjstCeo+O4+w3K6OmloXxQXuUqYuaUxt59b4FDrvyqIB2hZX8ei8G5Uuhqqxd
5yIivoP6BCHE2A7x8ij2m3sOovXBklr+PAR4HIVQlCCVq20d0t1of1JUjN9Lx8ti1wQ0P2F3jbeD
S6HXMqiaVAGd2IRy8q1VT/abUapiKyQDHDNNfpwZ0Wv0m6Qm2Lr4nbGGH5B8YL7P3fmZgRTfwmqK
b9qsCx5ERgfXtdGNp7UUe7+23G8tZ9F21cEwJIJdsBV/L/qYkTbetm0+382a3v/uRaQ9lZ6MKN62
mbGB3PVf7ylvx+jPpPPLjrY17HQb1ielUO0xBqx/iwmMpmJhwp12xvRVdI1/F1T9uNNw1r5Y3WS/
9LVmv2SOnK5ZqdxdohJtMxFjv6GsSPsgiqqrOdbq+wo29tasQYMTTjlevz91UHsJQirfvzGXHDYh
Kha+JruAcWusVAUnW3TY9CoG4m4kHOzCo326FUHWHsqptbaSpEAqxbrNR+wF07GjhHYT+UZ8QO1D
x/V9LEPAQuCn2T77Ct++mEnGuvYaEW3pYMZrgzwVwsIckd/oKisPLk2lb0GENbONUNWSl8ZiiAOI
1z/jVQAlSrERhxoey8AifXyinOfMxlKRRO2UT+M1k8J0MGUkbrx6nomWdoA6IHaZnnVkfc6K+IZs
O5OHQL0dBlIRTBnhkV52Y+UJ/iaLurfdlbQPBlhJhjfQUqjleKO8hqXbS3DBe6qiKjnOpZdvTKOO
oNEaCaQWzFKHoEahsIrsht53Sxz6WniieuwQoe46Jhz2QPSCLzD7tzeKjgEdD7fHEEHtdhoMeVTI
x3Yo/QlDV7nQHhtdp7iG95Ads00sU9HTANDjhk8TcmeGF3iRZfu9otkHZHlPEbJ41umybEtJUdoK
UuPHuw7KLtG22MOg/yDnjtopcBlrpdmLXBDByDZFGE6DG6lfnXve0R3saeu3U03KDWHq2MR6NHJl
4OKDantEfCvRWPOd7tIJxakGVHMd8R+PtqbidhVQ1L3sWo04Fv7obWbhXSN8U0VhQ+7jPtWtGcBl
BJ+SIOTljm68ZDTX1D2Ta2NOzWYNm+7BHPN6i2xFbGeZaHvO9m29spzJ/D6JyQfdJ9SD1VvoZPNU
u6BZftvh618R1pbgc9N++wrQvWGLb1ZHF7zIpuiS28g3hV4xczoxwAzfr4dtRQV2H4EwprgftRfo
/mqUoUr3tuwQE3rUDglXCcBoypBrcCHlT09oPyn334xmY+3McSiXfZs64BE0V96cPg5VMq9rEEsh
s9WeB9Gv0aKLTYyEhxa4/00TGF7A5MP7SxsVbXzonHgv6TXqfou8xpEEwnqS+8WParOrghrEjI06
QJImLZJ4nZMSuXXTAlF3ZfUdoPws+R53vRPmZArMK3i9/Xb05+pBYomBPxvrCh2dmVwkmStvhcjl
NxBQYsWqXuIQlPThew9xqIFCblP4Mj90/TQfzTTI96RUdqGWgBzYwPS2b22/nm+z2K0fJIk0W8Q/
Hq3/sYawNbvudvRq8sXqJNkXZKnuepVTjdOL9Ah/YKK31qofQT2XF4SAW7R0CieoNwNYvIHucAdJ
9qIRP9jeG68jx/ErI+hafV2bTnXXq4ygBLPqhttonqpDO9FgyrSk2bU+aiizLAmCzzHf4lWseYsb
PJg/7MRWw7ondOrGNtrsTjhttYMrU7+6Nfur1Qg7/Hryg/YVbIF3JHhdvEQToNCVIiLtWV9WSNco
Jd0uPwlHIbqLJPXtq6RsQH22lgMrXQ3Hwon7i0Gb8p+tDVUbhx8vt+ra6Lb3ZPmrbIj36l0D2m2T
VdhroSMcDTD/l5Dlqa5gFaLP0Qubs25D1sCktfaTJbxyi7THoIWFt/W60qbfee/538zKE+h5Zn8d
x8W8Q6eZrbO+nIAlJDNd1KRErNFpIykZU81MlhVZmMkemLjr6bxeVtvjxKkCBbk1k77gb+JGzhvs
pI9aQUtatBS0mOVX1GzBggW0rHNDvtRWZm1yl5YOghFPYWtnZ7yvArd8BO9YXbZzYR7qGvEG+/kS
aRQu3Vz6nRZazaCVIcclV/s9tQVisYGUJaNz/edWI1OXc6e/5xQzrEwtjZ5ohLSXLIrFLVvF7G00
rOopU7n6JjtQ7Hup4WZdpZFKc0gDS8IjqaxAmLVW3EHLH8T6vT2R1y6W2A5U0LE3u9/x4NO+p7J7
CfdLXFjsbH8KSZLjRG7extXy67nqYRQ0llbsW9SGaxrC1WXeywG8opLtNYXA+DpjM7QCUZQ1W993
FFo/F2kqtPh7vv9fZDVhuGZNC1Yd/luEEu18BPjZ3eb4qDY2vqLnsW4sFi6SMgxRRneNtKoflMG+
21kzfEcQ+TB3SDl3Hi2XjUa3ZZ+pmZldataaT614ILsFZAnS0Pre0YumXEcuCr6k03dz33e0hhIb
93dl7xMSSS7NnJDeVV53BFGAVgvJd41/0H0CqcRMuHIsDeRGPHqPHHVYTxAnf49Kkk9lHLzYwMAv
dGmYe36KiV9GtQ92av/yCr++6SlqYWiL+l2fo3vjuU3ZVRDMw76vPZ4Y+VB7kCNjTX2Fh2JF3ovX
J/Zj2lfwM7qUD7YOMGwL9lRT4gY7R3P2rZWYt5xBnpmQ85tRzu5RoS5dtUPrbmUhojcw8zPw7sGn
TGhl11Dm0fA4GqcYs2Z3CyVGreN+EPfADWN2uBr15rI9tP5U3kWp5t56So/hnrjg3pLe+mPEJIZV
2SC3dZfGx4gguxvhwGcqnNx5sCWqRkTMM1mFr5kAkpHkzb5kut320gJE0I76XRR1LglsGAqqNq8A
oVvFQ8uMu+pGrPFB0Ov7uuge44501tHT3aMVV9O+HervSSC8MIsTViw2gkcmUi0sraC/ZCvnHQcb
vRbhCzn730r86dqsTzdFK39Y6P5fG7/tEADFiMx/VHqW6ReG7KILf4iyDdWSgcHWmI+dqY3TGjK3
E1ynRR2bZCMoNa6supLOTgnKyGs/qVHWTHXxKMoArLYzBfskXYw8lLAeUUD/Hkf0xTphJUhRrPqo
z8NPz+HU4BSwqNhUcUhSiIlmg845pFFjSS0MNTRpR75/h6g097lETLcGoB+H7AqLDeWOn42ZIuLQ
pwiFE+vrNAxhN7pvHkeQMZsvnVq/Yw/lUjmjTKR1vvHTDorhwoYwvXWVRSElJ3kwjoywD7ToT+Ja
zi2hP+ZdMwZ/1GhrzzGf3pNpenWycZpK0Rqvx2jT+MYSpO5Uez0YO6ArSmzI9iGcFz/CFx6lj1VQ
k66TzgJNiRsLPK2vvzs5VhO4FfDPOvRUVhyNsn+CAT6HscvpNvAo5H9edz3XmcAojLeGDBEfr/E/
LxfXSjfQA3E5IJ+PylQgkCNgE8Q7ftFu+WCqWSr3UKdMm204HRf9xFQTwJ79T1HbnbvhZ/NepJ+i
7hdJcuNKI/wdvwR6F9ef9TfIt5woB+pxn9/uueq9Ffiu59oWHtQP3QPPakHF6TW6/Ni+c+CBXMmY
OunnVzn3UHmFSw1bp/F56q618aR0dkkP5r0d0hMWjbp4GsmCzOQX7+/cDdkIB0h1oTSHSfGf7y8f
wTBOQGzCYVBwaYbqu+tX3z+/na+ucdJSSp3WdPla6xAR9dXs1nvbL79yvC0v/7TjwfgDgMRQdLwP
gyPI/KE2W0CQLGBXcaebR7MSVMuBzn9LNFotSJT0JZAOSg308AMGvq9aOx8/PaDFDnVUvj8AracN
CJtkA0urAhXGBiS/FrLSejBydVloGcofGYjNv32uXM/zg4DJFC/26ben2Fv5E6afsBQjs5Q73QFH
8r6YTz6ORTCACxyO+o6JUPbkAw9iAz5gXgBsb0n4bmSVrvEUXHoZBc3Pb+fMlbgJ31kYvviavJNh
EjRpOk+TX4VMbaiWtObCmrxHWWfPn1/nzGsyPNvUMcwtbWJ76WD91et2ZZlbQe1V4Qy+vS7ewOiu
s1wsgqvj51f6SJDzwdX9damTZiMHVXdxbmAV6gOqd8IGYD54LfbYoMeS1Yv5aSL5cw8aM6o3yia3
QSeG7dVl37ptgcZuIflTJWw4S5e1RRWshMx8dPxMQmEbEZoPyXwVFWwGbSUsxKKUjNlctdvCbLP2
6PXFeD1UHWWsCd/umrM2wCY3nb+4UZt0qpPPj1YmxX2dD8DAu3IyNxONo1mB6HimTdK+BLAir43e
v59cN30r5847dkRJLIKq1xqv+87LJw5Oo3tw8QWlDu0ZQ8kcMfFTGbE7at0EmX95Lwf/ao44XZZV
rkhUGig6pGQiR3VmocMcgH7XPRG3WqZ169Gu7JAG17BpWzx6XCfbcI73LnMbLUOWA2EZma83QTys
Zy8eNzZ3GPC0TBA4hBvpP4D3iy8WrTNjzcTPj4KDNYt1/2SsRWWvaMNOPJeMiN/eCKwDb30M46xG
JD9G1hB+PuQ+dn4tC4uy7eDggeBx2vnFk9D3gyyrMPBbqF9pVW4VcJhL15LtPvLj9jKh/vIIvS2+
+PzKZz5f2trwXXG94jU9/XzreOq1pHMF7sFp+ta7hNsrir6PGNWz359f6sxN0uVlNuLAwz+nPXSa
I2w6p06EZV9TGsXQUVOzIVAXq0l9cJs89dcNXTaC/kwqd59f/Mx9sq8iM11H84aU4GSoe3kMG6ES
ImwiolzUIB7jxevtZ1P9r7cB9jJJEfmCqiVwTvEhHASbGONoEWI5epkmQSaaD/e/LizrXw9TthsI
phBGIcP44BeXUBS7uO8KmovdsJldqi9WdjMMjrvj9Pnr3z5AW7e4Mbi9EBic02UrTgsJy1lxW05p
hdh5RUUjgcJuU1j5V0SLjx8gF2Nrw9bAoat1unwpGsSJ25XcmWY/Jpb2gj3tVzZajwgCv9iDLN/y
P7cgXAp9jsutMee/u7H/WlfIHE8nodGNxZa4tSiYBGTNrbyinyHn4eYpzK92o+evCP8HGdvy0Z0u
L7b0fAzJeaiM/pgH8q2ajEerzhVqX7eAlWl+AVP/OPZtnY03nnJ2HVxxedp/3aIDbQX3rZeHWtcd
p6IPbTsnwF3/4jIfN4zLZdDIWAtgwjxVVvW+PqYpPzrsNXMxhAMukyMr4ufj8OMswlUMnc0GKAf3
g0kfh8xISrqRh7XFsZbjHprS7o8n3LtMtXTV/HltTdUXs+SSjPthlCwTB/p2BzLDKe+AzGwcAAmq
qgA2M8l4AWdxQRzC1RjQqpsFnaxmgse6wjBHKAloUAL3gFbu21HFh4Jm0o4o+UfyYdQ9QlzoAlKy
OVi2BWoxIaCNcZ8CE8gDjkDni9/+7IsB/MGIM/AMnb4Y+pJJQXmzCClRiW02BdlRGyl2fP5izo4y
dJVeYIAm/rDlLG3FMhJXhBu0HoS0qg/1HBS+1361azn3KgKXvS3zELkRJzO54xWWkEowEY3Sopsd
JYfR1cfd53dzbgZy2QKAX+BQzrP75zczgy0a407LURDgaOk9likMgGjqm+IHev1/v4vmzIhMlCVj
YSSdnlDxvrtQHflEpzz6tTw7Ml/uyjp6+fyuzn08CxjZQ5LLweB0GI9NLoy54uMpiNe8zSeDOnvk
/KLiWu3q2PF/DgWEHVQszRdL1bk5DyGpzb4ayeCHQw/1E1I97T4PY+CkrdBwUMQ7mT3LbH7gQ/zi
aucGPMcek8HOyfKDWhAYAjoyrMuhjGW+L13HuxtMXJmfP8wPvBb4RzoP0TNZjixkzifzatCZY+dQ
dwt9gi+f00SvdhqK41WUWX1Bgd4bnjLDr9Zd1fY3ahL5tVN41j7xEXbNmNjoLpHdbig85vgzaMp2
XfbV6dY4++Q9Tth8mbDMTjc+ddTozlCWrDajTa2wVW9GG5BFbPnNIfX8l26kOkGGE5VMYaXP+dA3
hyiovie0dWd3cV8OpX2gihSswMST7ZZwH58/yDPfGo0ttqDkBcAWOF0QC4/fIR3Zbg9i/iVno93p
EkVVVNDEnt4+v9aZx2G8Cw2dRbHKrvuf37UJfUIn1ZmtfWT80ik4bEpHf2smsu29QGSYtNz2ix3G
mY/OMCjbs6Nhxfqwxe7rYiKZseL2MudbksbQOGjdU8ys55WFO/NJ1QOhUXiHw39/rzDKSCRkZ0Mw
8MlMaROGndZ+U4Wc1a7x+NXIc4s7ZMkxztb4efKJjfv8iufeJFs2ygBA2AOmspOn69JyaGxVhZoe
Exdp9LQmhdXeDUAPwtLlIP359c6sOdwgeyiLhY3N4skXWBKwmaQVj3bsYyTcdj1sdFWpjYUs7v/l
UgHud58oDER3JwuC9Oy0LQVHNCOoxC3QZdyaXutepJ1hfDF9nRujFh/U4kNYJM8nY7RHFyNmKgNh
U3aPUD1+O456JK67XqWxuvMxtf/rwxETGKYLExAZOvLTD9AYKbibzSzC2ZwR+njDfd3VG0kd4IsL
nZmY0RbDIbOoPGPjWN7nXztROePW0yOOgEXsvBDouvdn9fjFkLD4GScb+n9c42RMBFqWZ7bNNVD1
GisIrvIIosa5NzsXiEwxNDxFHWvUUEtoY1n8VBG9hWKAhk0HwpXiX4ckSqS0e+wRGQzZzwAbcEOn
VlsfZ9tO7swghus64dCKpC72ZYNCg9MtmXB9HB0Sx0etrY+YFY2FZgTV1rifgxLFhTDgaVQl6Xt6
r6LgHTh2A7iV3WG1mMPhgt8ko5fsjbqZDgWG0eveSsqrXqt7IuACcqDyZs0TzncltaJ6laAWClEo
latqmOU26hIHxWA+XFa2ReJxmnW7zx/vubHJKu4ZjBNiRU7nT9Anqp1cxiZawTc1tm8EgN/YlrYj
SA5TLbTyz6937gtnz81mj/I9yviTb8FJJqGseBIh6O6l5nQ9mPlhaMUXm9eP/oKFeIrCn70JZbrg
5DIARxKrHgMRoiS9k3IJwhz8nyp/ohN1RVd63Tnm97gWXxyZrPPXpUrLE+VwfbohCyQYLDk41ESq
af6WjDouodrW7lC768WWxjlnHOWU8AjyXm0KwinocAkmcmX2Bwepr5MN2sHSO21ntLZYR6jDGHBy
j/GDNlaQ/XDI6VwNI3ogkDTxJmgJfE2h5m9iI3owc3z8/uyoFc5HO8dViD0v4/cB/SB/I/w2brN3
mPWIBQ9HF/+/JIwvadpsS3i2+aws56tXce6NuwBoodxSZrCM5ZH9NUekeuOUIu9FCEBsoru0mgZ9
nxvtV1la5+aiv65zujHqZV8WFdir0HcWcjL1hjXRHtvPh++5BdGF1kdfgX4bVNJ/3oyuTFkpsE0h
TSd/PS2WRR3OfA6BP2mmL0xnZy9GvZIzyxKOdHqIcGsmI1HwrWiJS5gI4ARoPztkYAgq2/SLD/Pc
ROBS9me1wLL3YfNbTJPlZkgpSI6r7wCiuWtIKS9VUf9uU8xbifvFkzTOjQuPUxIHWLxU3mmfZm5k
wfNln5aNBTSR2TSO/lwPB5Na/KaytCS0pcLxLQPrPtWjJCTQt9nHVSqu/NjPd0FlT08evgA02hFR
iV88j7O/HhMiZSTqt8HpxDiMUaPlCducQcnfVhA/J2b/UFg0kz8fUWev4/mcFDn+Lr6Zf46optem
RCLKCTmJSqo57ZuYtGFTdfUXC+m5beuCtqXEsvzLO/kOLRK1nQgBVtgiHE8adG6DuKsrBzC8cVNU
6rEsgi8KFecG8F+XPN2wZrNdINTRy5DcoD2xDb8Du0Dh6h7rqv/izGGdG78LiJtaNLhtakn/fI7t
Em4wj17JNGNO39tE/oEJ6K5B4fhryrfxeuEDEAqki22qFsGxZizyrBrlD2ijF5uiykukoFp1JrJl
rC2YDZK2fiCpHfyvKMgQjRp/N3qD/+w7zJoArRpUE1ozEn2zlDYr848+mGja4SGMUv+eVd01nkS5
hfb/O/X7YVVOVrrtysl8kCgvWexN54vRdO4pBItTlxIH4/a0AVsUsmkEIuVwlvOBlFhj1er2C+bx
C2qmL0TTD19c8NwrXuwZOAY9iq2nj11mRjwpNkNhqmAO9LKr5e6dTmDFwHVWzSJM/fyDOXOLrOuL
2xgOOzv3kzNJ4E4+yBGrCKE02tukntwrkbBDm7KqecngNJNIlfz4/JofcjUpDaC9MXmofKIcbU9G
V6yRqE0Gbxm65Rysk6FzH+zE6NfCmpyLpCqKZxhssA9sJFvvOmU/Af9QdjNALLREe20A5/fFozfO
FDFRJVD1WWZt78PZNx6dWUY9X3QzR+jZrNjeoUqzdk1UN3uYy9aKkYJ8ygGDSELSeqIng/za/gpF
bJ2ZwxZfOHIMmNk02sx/fns60gi3bNMS33IGRuVd3JxaoC8QWArngtflHdoMSSI+CyhlBUVkQyvp
o8IT6W8Ha9B30xSBm3jny7ez/o1tsdgnA0MK20S+Q9nj7NHl/p5QZDJl91vbzZItgkF7U2uiDRNX
edsx6byNH1+YVW495JYYb/hscaIQLj2/JH4XHAvde9WBgn1xMD93/3TA8KB7S4f+tHBEuS0rmtbi
/ot8fABTiiDNHdOX1NCS3ecj8dylUF+iNcCNzrJxsgGh6QSPfFmWgJAmG6n8xdIzyvwYJEX88vm1
3t/bydGLYwElHE6vLIOnx3+huUU3lCmHgx4Yz4oYqgnHx2wb+0hWPYzVwrgwKj26bUdzuDZNLb4z
Ww1uiVXIPfmD9eH9F/r/+IYv8A0mJSymwf9GCWze2rf/8fs94eL6rfz9v//n1Rv4rjfx62+Cw3/9
pf8iOHjOkkWxNIZ1jpMUB5jI/y/BISBKkDM8vU06SiQU/jfBgfxBOryM7MBetu5/Exws73+xl+B4
RbHV9lgNrX9DcDhdRci5cCmTE3pBDCj1+ZNRLXRcuWWSAz6IDWeGYG6LS/q501NJCBNqZ+crDMLy
A/8e2VzQg8XMisVv/rGiDPYxITHNncJxZLuraz0GH/fL0OHT0yBXQZW7mPgdpsYPi2NLp65XTjKG
U4vlYTBHdZdXNVEQni23ujYUK6OhxGWrTLtvBm98+msM3P7ndv6OhyAD4sNtUqY0sSIt0cs825OJ
GWQ0tJvJa0MicIoR/mky7wovwQ+JUOJyNJP6OCLVbfaIoaGYSiCZC4QyZafU0GV9gONpxKsK2h6H
5iSFdmXgS/DnId9NZs6fxQJSlmur0IhGHiUOQeyEDYwbdLfTHyoL+b2V+YBc8SSEiY0RMvJcBXHT
Ud+wFE77hf6crmRsTFQ8FHPbioLrHOpqNB7R5MnrGoLhI35nbFWEJR8Ht5FvflmmOmLvfvqTkN66
60XRPxcdAXRNNorLyMC3jD3HN9ZDZYrLJNIpf6eTfCVshL84jGlw2YDr2bIjj+6DHijxpm+kXh14
VOSIx2R6GOuIydfam7C3gfF4DQZ2PCqPUzUBxxmr5MZBnk1ZJkBkhpUEkb2X1ndV0ROZ1C9K7az1
4OG5KINma0wpRJTDhlyO+ph3proDtxUdkeSMe1cZxUEhM9oaVts/Z3D0nlU2uw+8HXOLIgaEtQmv
t3NH9XOqSBKJPXYe6SCmJxz81Ssxf7wZxXwbuovH3hvgElmtCC5dIhFDpZLpz4BJ5kmv+SuTXjcv
LirtS8Km7QPGHeOxgzH6krWDuByrKrgsS3ZYmyBTdraySyT8K7ebdVgMhdw2klzqQfTmFiJqfi/d
BMk7lGu80FX90474zzhHILiOMUfHIezQJcS3U0SI8Tn7Wjvt3bQrDpXPy508ORBslAF4awjUxdzg
kisicaZRuYD/68Ee3WtGlN/HSPhgrSbqmtCMJfQp7n/nOmFKArcdtTNdZ9Iwqu/pqPpn2h3zVaB6
fpSVTHtJauTKGLnjYNDkdZQvH7umnBst1nskndyLa2fBqg2Sct3jKShXfSL634QbTPspNe2b2OZN
RIjHVraQ06aE/lfCJ+p4rjn0MK8ISBtGgA1rd4QAhr8iiu5dPVI/aT7PV2JIpieThXQPGBcnUq3y
HSjV9peeucYjIXnDhqQcUHMaz7aJeY9ZtzzqZYgWAiTdRNTlbsbsEMN25E3YLkJy22D8E1ElX4vY
i45Fk78OWtPBga/Lm9j/AzcRelaqlW7CAbk0D0njfMdxrJaQzu45Nhmb+C7ydG9ijdrYdvHdjrwe
9KsniVJwGJQL0WpMeFG4KttdpGx5I+E73wTt4Nx0U2Q8irSRr53jVt9xrjBaPTyytRlV3y3k5BcZ
puyH0V/4zVoGNssnav4thiyFzM+aNGTZQb55vzk/4SNoqka7Hycp2s2YZvMVVdrmRXIMv5+q1gBp
zZECZK+B1bTIyrU76GnYVuTNrwlOT/dYJcl2KFyd11TmnbcwyNU3spKDS2zDHuJx01LXrYu703yh
+Grk7mtfiaH9mdad/Zpiy8jjsLdmYSOznDWxRWg3dFeTGiLnOMRWZ99jzMSiZ4/Tk4EzeF25XSJW
hjMiG1Szu2McOhAvKcoDjx5bpqZOXHcVmGfsQcHR1vLbVm+0u0ov7jWnu7ZLWe4wkDh3M8y7leOB
7q2dGARwdA3vEmo4Nb4wNufkUJr5U0PjcktqW7ft7OlH6gOUt/vuV56Y5UET8U8SJpJDMtMPEkYn
Lyti4raF04+QceP2l4HpbBunzQXOpWiH2tjAspsHG2OqgSN4ToyIIU6v7Rl+OkjcflrXeAndzD9q
uVSbtFBiXskgUgd0N6iUtRGcqQ4kpkxzapJlUfyJ5Qx6nBoi6OXGntaBLe4n4aVbs9SCiwwL/xUl
+gHbCh8svk/jIp3QqXeBH5OXwos0jV4/6BCYw9LDXShby99Wg2auocfyWYqFc6AjVDS1Ur8YnDQI
u9h4IGk+2FFcaS4NEVjF1uTZ/2zkMLhrh2MpykViVSMOHm0f4ucjSMMY4O1H4DQbQKvC1Ds0nIFB
lTRwMQlGrtpMUfPTqoZuHzsxax4LuL/DTtavEhNhZyZcdU971sDXljc7VFsJUXG5BjbOH7/7JLKs
BisfL8S4+AuKPH/FqlB5a3d0pz2sdzChdLT9DXkZqEt622KHaNELMkyos51jeQfqjKa+mZhEcETn
0mxWku/qyi4aeQEWH/O7qZsHNBPNxkoSvqpmCxdPrQQFlxUwYOco3Xp8mgeLpLzFwEwTKhyKjdVr
FRxfd36The5QbSvnR5nJCk9uE4Tj7ASHsoum2zS35k0fdeqYl9Jeu2aB5cPN+1UxEJjY2JZ95zWU
mKtoUR3ENXZIXfo7pfX0WJbEgcGxyEEOrOyb58Z4ZfVpIPx2wpoV9NqOzNoKoWx5VxgaazmEmEOa
WjCJUU5uYi0OnkFtGPsiZcS7VpUc/H4kym+I7KuKyh/s60G7JyvCvzbUPB2XjK+CkIMA2IFy6/K3
Hatr7AfeZTCie1/bwwCxt0A3hkgnya9kMxsHSbdFkazs1hfFHFmvXeZN9spzBuS55kAMZTIBZV9n
Rqb/ltiJCmKdhTtu9EzvD7NSwVqWWr3vjMJ5HYouJe8gT7NLu42bn6WVuSQINHZPB84QhHe+YgjS
QUflDT66SqBC0UaR77zE6X9UmVGt22JY9gVS3eG7KTaI9UW1xaSfXpDTi24Xe2LmMfzK5IB+vr4M
VFPZKGwpHBL/6qS4FAmfXmdYn28mM0rDORHyhylBG4KIn/Ll3cDtW7ZIWWaxDi0hE5nTiMvAJAvB
F7L95cOAl/RKOELv9LxhwUH9O/3hHA0tctKie0nXgW+A9IxLL9JltImdhRaYpCWMbenczHjQ77VK
Sm43tZJdRx4iPkM6QeuSTV5CnvYof4yyo7uVILbA+cvqjCya1Nf3zZdKTeMRx2jzS0Lx8Temk3B/
RrlUk8ZpMrdsQ92HkQzHBv+tUrjbezvfZIlZHCjci8sC+3do6w1RItXAZFxncbYqJdTrTeI0LO5B
WWn3Ig6659S04pu4ZKchHFdex/P7bxGobxZBs+kqUmqZlMml+NMCECITwWN7Eihl3DINil+WdDkF
a8QRsWoT0eLGTESrsubXWYzn+8TQuuckhUm5MpTmCxDJ9bSPS3e60HtiQJKuHzbxYgqr2Gy9ojMt
1820bH9xD7167VjAJOAWKOwgvCrH6Q9Gg3Q/zlFFqkkawKsdwFpMTqSTdSCtAnpWoL5QO1BY+3CI
QN/jL3pDEBP/h73z2o7byrr1E8EDOdwWKrGKmRLTDQZFicgbGXsDT/9/oOXTEulBDvW57Ru33TIN
FmqHteaaYRna/Y7uOIMGlXJCnKJQ3oXkr9bZpimDaVuR+rCuUxixQWJ5L4QXjXscS+KtZphPkOPv
MEawGPJxTWmOjNcDjOizsTXth7FG1ZzOVn7U9dJ6NOHYKSQ8tRiPCIh9nGuNfE0WJgYb+L7uSr7C
fRzgdKMbCYo9VVInFGVwysWN66+ypiO8AUmiILzZavlmTZyDrse4dW80jCbJqIl1HM2EbZPw3bG2
sSSj3pAVKXYDCwdjUmolmhTqwTjnX5qJUhSrFjMQBIZLjaTE3FwJ+LJ8l2gc1zbmKPdkqZMVSkT5
jY2F7sZUUX2eQ204zQbciEdSa9AkJuNtTCYW7HbHLB5bi8idQ1/MHmGmkYx5SSl5CprqerVx4jzR
w6G2ogLxrJUN6MVxVdI6e80HEuZtFeGW0zUWOm3PnYv4hFDadB3Ny/8RUUhFax2VmxtGKUS7ET6S
bx6ZLHVINy1VcwpSS7V6kgms/hM+cSwC4qBZ/BjQKEooT+E9ok0UV7QxOmoyCsDOt7s7Hd13iMDX
CTuHzJSwDHCmVSiOURHa9bcpG/Jtm/bpbhi51fRcznu8mCjkEuEOt31aPHotdTt5MPWDLwsrXbfT
ElOxvLtg0ZEe5pmXz2bXrhHVWicGG/Yqt8Z0F8GjEyFR08VJT0jBkyK05cmeDO5kszDNlVB8n1bv
t5d0AP7p1Ogo5yXNlluI7k4QKnNHsqt1oqu+euyXmlokQREmxFPI0J4LhTl3IYetMcflCTYYVIvC
s1bcWd5VabXDrW6QBISVbfXkdC02wTaVbW3QtaxbMbPz+sro7syMRr5pivocl2t0sJGtqqc+Ev7a
8nsq0si2UTNWzswe6UgGMFCg84e9PjfPlVC8lXIme4eqfOWk9rxnftkcmroBDTEZZKxUsBxdSYmb
jjN5NN6l2dxDQfVPDUl7i1NTcBobdXtIJ0+cujEvjlnPtBO66YSVL8ZbRlC0VXJKd/7SeTMhqs/L
nL7cS2lPGAbNLz67dN6k/lw/5G55OSqv/oZtN22O7sQEe9p4CciEyaDNf1RoS8Gy/NbKXiJQfIg7
bVgxbzmdLElg47JVFZ0sF0ku15j+149Oo/B7a8sMLTWzks0wpnSkS9OQKp3GKVF2c6WLlm+myrgC
Xs/AWsQCi8DYnMiFxpF2KTbopy30wQBafLrCm45zjLuOGkE1XpchNo0c4LHA+kkN2nRmx3SaVjc1
V6+dtrBYPmiAitDFwoNYHboPXDvSfWFzkRXMl06HiHDh17ZMizVeA3RYLwTo4dUvAMqcYmGU1zTi
MkleWp+ImJntJkI1xVwCcvFO82NQA71W+XVTQz3B0zsPFq8rBwYhXjXNgL0HxiJ8xbHUC9KU+ETM
S02a55ktyDAb6CMinouWWierZ8A/n7Rj2kgAE7kRmHWFWEHi/5XjX8RFo7cADgyzwNpBYnBPae5n
ywagcHrZPONVSaKV3k9fBb4Dq8hsixNtaWpREnGs0UlhKL50yIuz/Mrv8NIKxZzyXypNmuxm5oiz
DB7/2jd72AWdqRzMTFSJTR6Q9kPX56VM8TS+vqLkkmo6iC1/L02SKLa1TUsuKiO61o1CnNaVma+R
Bvinft8195UBdoFrPFgGtElxKqHyX4w2FS6mzD2Hu2Z239EKVY8qbv11qzfBqfQ4ZyuZ8AoTh2Q/
HRM3NNX5YKBTKmmhXcqiHmvq02U9N+1yDCMY6YibK0CCgtSj1shbfjzom+mYQmP4kixoo2yy5Rag
MH40fJaEPQ/d96HBvzoxovjCI7dta7TL+sE5AisI8J/C5eNEC+rwWlb4AcgUVhv5dSlHunfSfNYu
NJwvr3eD0QO9DX6cXHgc+fT7gFej5tgXXqw5XBUy8E+bgDfcTLn5RbbYNAclJlMuKX0nNm1ImLiZ
8aV2MYdJB77IAGDuZCp0cYrJnzh1TIqHcvkOEuqlhw6yWb1t54qiSBqcZsSt3E6S8qTOwUX0qjC/
kIDHYcs5do81UP2AdAF3cwY74SsUM/aART7+OodYJBKTb4CMjtOkDikv8+2SF7htKoWvbE+RWbKx
EfVboE9VwaaY9LF6JEccYFCC1VlpRInWU7BYuG6uTUC9DZc9i+f1mFUeb4OOnXi0yo7v6KYmInfM
cqnjSIo7qNZSly3N8tfao1rSZkmrOHYjL1PneEtG9lFOksud7o41tbXFWtP06FpJcAqzUGV6Imyn
Oci6ALxZjkqEMuamza38AhtFnBfd1AFtwFzNagLuh4RWlT3ZggpChl/CYQwUHo03/PCWyK+eX51g
qpyNmwYUf5iu19/w6qHkaLq5OMkEmyyt0+QCh7XHcXR4a+RCWiemn7BVxpx30Bc6Vegom3uqksxe
DQqP9BVWDQF1y+Ck59ixc8hKshhuqyqywmAap/U48IVPPrqF3ATKfP3H1405lRlXjEZU0rMjuVNr
LpUTMffqElvAaVsmWUoqRMWGTu3mEHsOhwwznvgCMQuj7dlJ57PanamEpTfh0Jm/DPZcuQRU0Di8
AnQeCTw2FoPXcqkCJtVQCpPtNexo4PjEkpzDDGG/bz8Qt5HgmAAC3tPIbgYHl/JVTpTJoY/6z/hl
xluaw8KjQEKFCA4JJMbQy6jhF7rRUFlViRN5v7dTwOEQlbpz4bm9uYl7PMomm6MtCSi++1hXl16M
Mi/rHAxpKA7iSNC7CKs5dNY4HYWsm/thsO0L3APVV46E+ZNh3rux8vLLLnJ9aKEQ+N857jLgy71R
s7q9li5BZR05C1NNL6YbWXKhDTQmoBUUosZIU4SpHKUVUMaSlVU9ZTXQ6uuX/fHU4HVk//tsxII6
Z0MBgg5EdPabej/GXsIM0rjbl6VFXhC01sU7YWhOZ6mNu7YdkjXd+7yZmEVS6AyAbFnNt+slSyeH
KOA6kywqVLecBpFTfa/Twrvy3RhTjB7Dzkhrq2bV9M6nBP73nYqB/ffy7XtQiN9JVlqToKE41vp9
rJnNIYJtsiD3VI9N1rQ4CC6TCKvx1yNn4mM3cYsIKegLh975OXv536jy01ElhmS/LLh/GVV23dNz
MpD303e/zytff/Ifx/ngL+gd5EOj0LLgUv7qOG/95WDIAOHfZ6xGcCXL4B/LefN1KokFAd7yi4k2
a/cfy3njL9NaeHSsDJfbkAHo/4/lPE9g2g8NhfqE3+7NYC2wJpyDaq3e+2nxktBy7rDeiVapDxP5
l7fzb0O8N923z5NMNAzIPRh4vSPoFgK9+tI27X0Thzmsrh5rUamVjJLhEzL3e2oBPGB3EZZA98dI
ZPnzX07OuNeiua0JVuxlPpBkoV90Y5lBTZ1v//gjsTtx1Vi4EjrP+v1BI7SBoGpnEhy5V/Iif4m0
9CXjf/+bxzgkx8MBfj/8RL6ODN5RNQeODDaBz3CR3KIizFX6X7w61ioECQTCjNDf6hbiWi9t3N9q
4gHK9lQRrYmTrUkvIrJPPpT7fjn4LvMD6KcW+qu3BFRvJA21D2S9TyQRN+4wXU+xusU48LYeCV/5
+A2+vUtZe2QaospDSc7t9Fb6TEJWxd6s6j1QIyAfJc0+I1RpVWnpk+6DVqU4m66MCV/fjx/8L0sR
WcbihfLKtnq7vdy2ApUBvdxzr1Q3A+5DKyfACxQLD+uT/fWWCfD6GbnvOBWgy7Grf1+M85ANE/r8
GjEtpuUEWk6bzNSjm//iA/3ylOXm+mVvLQyLUWOot9cChUdtq27HUoqDaP+7V/fLk96cTDIvk4qB
OAukGKa1q7KnmeTb8PPt9d4JiOqFfDAD7obrMKh4Vycw8bQp/vc9qgu8uLpqRVocWcyWfd8QuIV6
vWb4ATK7dUgUCjFA+EQ66ujvFwp6QN9ncXqBjbPDsl1+ea9VVDp+WdUlDCWzWtf6qJGYXFPmznY5
bQIm/2sjaI0tbszOXm9Vtc4KK6Cst8UBagaCGEkrjrs3riots8DnVyTbyyLrZAkC2Q5e/jLh2nMS
z8Z4VnsEopLR2bkrM6CGqWr+lSmJyg2Il8mEHltATzXl1dQG5l3umdWJE2XR41hSq8tSOfvIw1W8
msgHkhlbKvcUBuPdNDBjp6ijMmlos/oeWe+QF2IDcU7c4KhpH7D9k89NxEVj9C6/O96EV1NmV0eC
WMcsTDw/qTaTXejfMvxMESvy+2hQup7KiA+dE8q5rYK4vmCWWK17fDKgxlpRlK2MoQgUSHpPQCGO
p9tGZyCXNYD6GsHlYanz6eaSs5MA3j4EojfhcHC+JXGKFSX+c1idKmML4bYi+hKRycEu6agQw1VH
QycI0S+pDf2AqG6vgCsfJ6NzVLGRPcZ+Vdy6EnC16az6oXFL8y7is9crTwIT1qU9zPxOY4SG3quD
PrSsieNGuTbQjgascdtJDJ/pP8srwp/6x4hXg9FlU1+4Q/aiG3ynA4Zvd6WfvqhORje9O1cncjmd
k66rjlOxjDlaOi+WbxAUCZ7errrGU8c+4VLpQ9gp6W6MC2tFJZIuJt2DICkJ66GVPTAqja06ICou
Fi8uYQLn5BHzEocCuYWpSQYGrzuv6LBYx9PbPyUNWWzylJeArgd/eJt0w7Kp4y/+jP8h0RBp/hjg
xko0oiSM1UkyWAb4rs5Y8bZusUsZVNZnBhBrsHaTaLxPoloLNsxMOx+nFjKoVy7g2SkZHvOdj9PZ
FwZM5YvpESTNZ5w2GDxGKzhLzd4miu62YnN/sYiDyUJM14jJa2Ho5ChCkxGvTAW+3iLJRnVi8hX0
kcpJMjbruFphIaqhd3SD265p2XY2QWrhaHPLztjM0vjXiyEh1njJLdrgeNwNvsieAsjR20Cwj/Di
gVaUBmNBiFakaCGD8X5u53yHeVOPeEprzXSb1ZYzb2b4Q82q7WI5rMgGNL4hxe++mzN7y9aYPa4L
6XRfR6+vH+KMIDJvKjjGwYQdeKiadYAPlzKHlIQNGznfhJPE+WMTm+KgIsxUGZ+ZIemQL/TiAdQh
4tr5RYgvxMlyrU0drXkCg+Ics2nm1HGxOI/yDQ0Wty8+U+DIPm0EoT3RTTa22JEmtUp+iDpw9iJ3
gZbdhMBF2xju624ad6iq8PANBhbCLH2B119K5iG6n0bD7rQzih1Owj/6ofXWSaduSLuG4TB+G5Ip
PZTCBTGNCMvkNvaukoFNybxbbUDTxrOxb4NNnLPPkcNGK7P28juf/LgjZndbkoMLAAxV92Ep8y7H
OzdLV1ZfsKg5FdVlUsBrEUMWXFjUtUwK2fX5UIAwjHXEyISEibnldCMUdNwZy9Vf23xus8ye0k7z
L3y0sE+FwqfaGnsD2rsEWLMj66AGVhR+R9HjEMDe0IupWo+I8TZON7ONSlIv0Y8POMlpLWmPGJJq
YUKsxZXhtg2zleLJcTgo25bzA0du72pOMSw323ZaRx6B6zhZDv4VhsMtQDhhKoTVsAxJzm1ITy6H
dTZlHGLmUK1dyaNbMOp9iociTANDPieonWpRCGxPO4xasWfZtGlxYdWYxSbS8vkSyvqia5bSvjKr
Y2HULCZAmIGsOcNGgsXbSaMAWM0Fc3w9deHJPfS5b/zQJafVuKwRR5+N8zzq0/PMUfF2nJAL4TC9
BGFqvUMKhrPtgFNDLDLN0LFmTsS+UuE4u9VXGE3BxexFYq10rw25cCWmGD0nd6G3LfYSrvgy1nFE
VpsQh2geyqtu4OzRYk4PGbDp87HknQfVsLUylGGxGNNzKzL1b4Ex9EdQR0riarjw867Yd64+7rIE
fUQZxNpZ36YXVmqN91qWdReTSvqzKJvvsHKWMGhgwvkT7jv2bDj7OUhnJitNeUGsT3RZ5A9egzUw
M+CXKl6s8/r0K/v5th11gnExTCHQoSQNWbfQG07QMLgW4x2H+zfNqUi197j0Fob/iZYmxS2mvOLQ
Ck4cvfThTOkGuY8zX2n99yGLOzu6A76DLe0fAcQuGSfc2yLEVk8Ne4QWdrtj7rMymUrIVd8FGRHA
RcFhltFnNiyRLChDCIL5iZCNTiQufD4EnETzrKexmdtVUVtpySy26XUYIrJZvPDNr11plgfZWOWh
8nq9ZtQCY8IqumE9GAg9ChBhhXnBcZImeZZcPkXL+Vd6MrpuGOygb84zbK7tdCyTg8wCC6ttwhlG
/wCzpxKryB0szwppB2DVr2Yc0166KUsINxjz8kftwPUx0tg7UYxz4DtOQbuAlo4O9q441yd/4WwT
mdD3l8L1cEjObAzJGerFGcqEpLVBRAZjZPBsdI9+rueQmlRxIzNLQWk0XDBX6nv4FrU3jQdRZPma
kM9vtj8QSJ/BYZgsBhsOPHfTZX9xcIxXjpNpZ4YlNPhwXokrpG1OO/apaa2qjIH1UPj93mxw31BN
9JQnTk44kJkTA8FglewAAkF7U50P3NGMyWKifoRtDloYFNZ8znaNn+PCg3SSG53GNEYFVLeadpIq
R/e3Xlxyvtkux7cdU53QsNlyJbEQddY1H3ifMxxkbDk54+7jGv+9DGIpiAkIc1B/Ymjztgus8fki
KWvI90lZ2odh7MqXysILdyV72ZEfHduUVgUJnVD2M6M/H10qCyNHcFsblFXw9p64uMTBN8GoJpNW
p0tr+KjFNDhHG0/uU9FmLaOMLiBmvWFQ0oOv7ePFAcsiI6ba2F4Z3eCLaD9ZLlqKVcBfdr5meFeQ
9Thuo0mhWk7T7PH1DBSC+KhQzrn5qTZlaTN+BRH9hfvs01EFDvAmHlO/F+bdTLDM0OnFHsCas9eU
4xnOhQTb+i01Eyky6fmExg8G4kyNlQfELnH4OcfeKiELGcFnffM71dDfXOzFCBAbqndmRl5sxpwH
/D5tadwOOqOFnPtFeumTKIbraOLK/3g1vGvUWQy4Q/Akg94EycabF2CPThkzYSC2mYJUkHPCZU1p
IkRSHTUbH/OPn/deT7k80HMWMRY+GO/cIURLsWe7OT46PvEyK07Map12YiT8ioXVY4m5yTvWmuv4
8vL1CpYkPLi7xJTGFvqlFpLN5Txh2D/uFPkof9pn4xqLLA/CKzuE9/LmfSAyly6qt3Qf0G/vHC2u
jrUtP9uD7xALngJQgTMcho9osN/0g0M6jJErqnTv2lSuLo4/2Dq5fdgADWPonpN+MGVU7kxix/uP
vwBzQQp+X/LUB0Dn/uLQ8d45czJye2wLiW61k3HEKBmOlBZFwWM5UJeSVO5MF4HmBLfCnm7zYGpe
tNqRm34aSbrqK5Gky2HX9quGBHWLeUVNLWfn7Z7iF1IClLHvTbREbmsRlh9/Iy7/w6s/watBBs0P
pTV3U4XCKf4Vqf75Mz+RaqxuCDPF7tFlu+sA1hyFP5U1eJksOafoLyxgCiZS/wGqkeOgLF7MR5AT
Li4k/wGq9b9YwkDeuv9qLIsq6w+A6jfwFpIaRzdstD0GJxFsyzegbjRII3WiRp4P5fe4I5Ou+Pbx
sn9zsL57wJsd1yr8UGvFA3xIHVghQe98gtmTopIsv3/8qFdziF92GKoLyBEW54dF3Kzt6G+wusmg
QXLQL57BTieOrUZ9S/yiO0GqMPPGeYTbGPvPCXqVXt/pcGY1WufCmVJxgN3WxOX3qql8D84fRGng
/V3Ukpk24f+NPldnzn86tDZxdEfdRT5bUCRG7Rcf8vgRzKGKvkxNv83M1Dl0pPlcZk1FEzVlUYOB
C4PreOVbrdOvzNHVcCWRI0nwZCWUOLXf4D8ajy0hQmL0qJIqBBYr8qBg+4jBPLS0FV+5mgeSxBea
ybyYQW+BUQqrPHo9US8OgUznPrGg8lGrdHeVa3EJp7Y325A7wbYubM2j18vQMGg3UtdSG/Y6fPlA
q8M+z0gb2nlFm/60AfvfqfHJqWHidWP9snjfTbku8uIpqcqnX4+Nnz/089gI7L8IpWBORXXEff1r
pDKhH38toKoHjLv4cy4g/88BF7I7/mS5XLD+Yi//HG5Z1l9YUjgYsvOQ5ef8PzkzsGP5/SpjoEXm
LH5ai4eKAWHxzWXdjrkvlGs0B7vX1NqyC/C9sd9aZe9fOQkVzIlDeyjoo5LZ2eStO2hokZzsOypp
s+pWCuxwFmFZkrhGrKVmtV+GqSmOPiTO7JKWtX0c29R7IMVOHBIjLo69zMw1ED9CCurT8gCXEpYm
t/S6HzMIy3WjVQ8CkPFsnCDf7MrJ2MVyIUDNiVmzV8CQHmCTWf7e15ckmL6Z3PtRqsG/nEzHI1Q8
TU4RKfX2xnJH7I1BQ/30aey15B4CTVfuq7bCFLnuIGie9o6e9BBZi1K3w0En2VDBF4PcKs+xXkQK
vfWbYq7PK3qUDgFuh4QC1gqQB/YKLtYzm7JqdK08CM4xv1g1ZoSkd40qpYzOmeRxLuNdxPtsVulU
DrIJIyonuR7GERWEkUSG/iyhoMt5kyepAwk4F51DFyqyKsrDcmhnsqLcQVhiJXzUEKHqA3tBSnFg
QuDtZLU9hwBQsajDNq5NvAiB4odqzr7P0TR1DjFdZTw56xFHDUjvpj3GxH2oqD1HDqed6FK0lzpx
TfScmsVhZrerrEvECS7uI5qI2rzJNRcYhAjXeTUaQl4ZIHFbN6inJ6/O8g2M+AIXpSkhi6trtqNf
5qctPIdd1dnlSVX1wy4XY0O5IyqXhKtiWDj+oTckCLpKMsksN4kvcH2jiU8KtcZtLF/bvWOtQFwr
NO9BdNWWsryDtdFDKIlI/Ju1sb4gWO5rXpXxFb16dymT0bsq6nx8SEpfreMA+VBbJ+qK9VBtp7FK
bwtIRZdgwdMdvRhaEzkMi1DRjNZcnt55EOTRLbCetVeJq11oiI36VddqwXb0Wus0cqNih/d1Oq8N
r80ZxDW+s/Kiwv3auIa46SZQy1UZJXhMOcyvVJiWradCDILmE9Gargv5rCs3Az5gJ1LN7U4WuLmR
/WEdg3nhyhiUiV/swKB19ut2yfnI2+LFkHCYVxZ0HbWKcULe5GZFAhT63ss2nb2TVjpfssZbd9lg
g1dbyjs1pprEqQy6EsBCO4wXA/aNR0OpCgvZYFj12cR3PRRde5UUrrhtOyV2YwQLVJrJndHAZ+4L
3z/wTZcbBCs2ea415uBgLFeR2yUHYav2S2xY8/1gzWW5DaQyn7Oq1Y/aLLxs1TQWnoWFCrZkKPwY
A7LBDEdvNgk5nnyDXgYZ2B/udTcr7qZ8Tu8s2acOIh4/v2s0Eaxlzg5ztR7DLbh0mwCh5RY9wBHO
lBuC8xcMHqzpQmA7cJCqC+RKTDmFAj+rXRiE+EBtIjOLYFc9vRRRpg5KqxW01TgHqzPo1RPHB/lI
IV2viTUjWBfpZCgjSb4PGv+V52FWEyNZqZ1OHiqdOAEsIMxbGz7XRa+1X9O5vclqzftOcl5urnRU
HyiKJMVhaNZz9sUDgTmWpJ+c6r1dr9ysi9ZeGp8EducRBtc2bI2huyFptliDylfP7gB9uJZzdWlF
wfyN0QCNKxJXgkRKWR9jMnS/xmhrQ7dZvI1l2UzreQ7iMzwEh4celo0g64zmrtTDGWnmHKL4PQxp
HT91mCX/KKQJHjQ2p+YQyY3jSkXQ8mDdmwkSEgtTKH+lpJxOIWIutHeX0qbvTZwjc2oo1DdK25Ib
uLi36351lWdd14R1bwSbYlDG+dilC3k3SmGbJ6XM1N5MenVdSZuZRR5L62bsI/9bLksN2nYKRhT6
BQgu/PTpGoDfP2Wa6TwNZBMeAwZU7qJt4pwbdDiAsSEi2KJ+0kGStvW/eXmToXXnHiKAiZxMS64x
ygdY7tLkpCr9ESBrgqGMQqE671KYi4F0kN7oCnMwX1wb0p1OYhoseO0dAcpZ1J04eR1AXbPVqdab
aRj4tf9sV63zUmn297RuzFPDG7s+nBqiuIoAcUQL5pyWWn4mVeKfBVaen2Im6marbH5OdBO0X0f9
ZCv1tdLbG9XMeugbGHSICOpwOrjJNsWVcaenc3DVGG210VwzIVWrkx3UpuS8IAcOmVgawUBvjbsU
Eu0OEFnfst+fM9yLwRaBiZOmqL4gFuYESdoadJEAaXK6nOLMYf5CtLMYzyoBHIs9D8YObun2qEqN
6oqVW67BhuRlOlXt90Z1ms5EwSgoe2z/FpMR+8BvOK1NWWOr59ROvSpyp7wsI83ZFibghiF6M9Q7
XSGF0dNTrY09DHNEtesHRdTooPoHQPyEzDlAztHLH/vO+MboLg9hYM6noyxj5j2IzomdA2oViDbW
qiRPe7JU92IQw7sZiJW7ybDh3TB6IjMwxhTK9oEQrVaLbtLR6M5d3SObObCQ83VY8ZE5aBFSBIoa
r2z8WkKtTbQTORzb1E5CR8hvrY4MtlHIAWLp599Ln7iuadb5Xn3/MfGLH22edieWxnWve9g+Nw5/
F9ECosJxXGKGe+SLWWGvx9Qwt2afGqdzrWXPBKPAfS1eAw2JkyKAsbjK+sI6mF2WbuueaJKBgmQz
NEWwt+yKlEpF5YX/nrMDnRuPaVkhgCoUQsze0LS1jqkJ3ljVuLGQ0z73jkxDfvcvKXrIcCBYa0//
gbjNOZtt2CICRSz6vMDcVobz3Oj11cBMbsUgJguZPOw4orUVgBxyWXtakSCWYjk/U2EUurvJ9erc
q9srT8dWpmt2syyJhSoh9euJuIaPkh+yao63GA/5qyZAEsGgk2A2YhShv8bbyC7OrFLTrsnDlrvC
HYK9DQoD8szgNhekvaXJti91vEUqTYRuMV0RzGGskY4xIOxrBtZzLYBzK3/lJASlC0S6HMKedaHh
PLLibPe+ID9G8ZZFFYiv8YNATaJiEbKsUuKdV2ZaO1xkecJ9YA2YBxvBc1pODaZ3LD9kx3tXjeLK
1Uafy3hO4MIORqgH9XCiyjbYZyLWVnE6+4eyn64wW35EKv31tUH4Xy/1WS9lGAtJ9wNzk/QZF90n
8Vsv9fcP/eylfPMv7DWAWSlu8DWiNfp/EEyg/2WDGwAXQF/SHdvFo+MfsqD/Fy6z2GO4yNp0qHz8
Fv8hC5KVjff9Qh4DtgS5+QMM5g1EYhJuAyMVptQCBIMEvemmmqq0fALqIa73NfMHscxBpUXfYGvM
UBGTVscoABr+5SX9C3HwDfLz+tSlJcROxTA9bLp/B6DtaE68RDrBgVugfsBloF/uZZNr9+PnLAjS
L6DM63Pg3GKqTiu7MBV/f86YVO7QBXF0sBksx8Rit/XDq6LJURG8oD9/2ELT4nUasDnfOhIZzBS0
GDrQ4bVIqBblySunT0uHYPPxoxbg6vfPBZCOKApmmI691lvyWxMHXk16NbF97mSci0XR4OChx+is
r47dYvL2x88zWLkGy0R3aQrfgFuGXwHxFqVzmFUS3XrEHEfEedN6cjEtNIQuJYfsk9e5rLw3nxFV
J36AeNTw5b0zripjuw/a3j6gF6JA81DxpJQw4MvI6hhDMkfjp0KtHPl7nSGw+uNFCnPG4T3rOB+a
7xC9StiNrgoUkcOQLulniCKUIT+Le3i/FXgK1lwB+QIOjj9vNmARmVJEaeceYmQ3e+BAyOr+p1Z4
//YUjiCfi54RxDs+nNtbZuNofJZXtqSbQrl4rZn/eJmAFVm4FsE8XiyMft9ueQOdikhi52BGSLEw
UGNRjBPmQRtomMZ5X6tx3n38yPfnF0F/nGF8LAyseezvjxTpGE2ycO0DGKh7byBbgs80wjYaMFzd
CNRi3PjdzBL5+LnvTxZ8zqC5koWDj/y7HUF8RqrPNQnV+cDujirOyd6F5Dpn6PM+ftS/fEQWB3Rk
m63OJfHmsPRww+BRpYm2aFGzlEZ1nKk8Hgp7mRjPzGPVsmo+fui/fT4sTn3I6DANGSH8/l5HFI9W
ErjGoXChnorStk4K3U92jT5+utNfJ1+/b/WA+wxjSNsLPP/9Tlt4SjrnCfSmDjlSZpQOptkeRiT1
OLfnFSY8gAKTiUJItsY5ZJmpOx8bXBe2cE7sJ0IJYfigT/2OeahFlzYLCHN+7tafpT28P3iRJFve
wnGGdczc4vfXIoC7UqwGWOElc84wjRCwZUrjviSog6WWBd1nd6Xxfu8uSR0Y+DE+hJv+lkcaF6Mw
I+64g+ZrWrtRvgXuQqIljgitwZWZ1NGy3rPUOG+GonlAxDUbaysN1HXTmU1B5O0wN1t38RDr0SYn
64+Xyr+9k0XtALfc4rt7nT3+wnPVG4DW0WfXl7NvnGe6kz0aMew2wppEiiqMyvzjB75bmy7jWnYD
xmEsUQxdfv8SmrQrYq0lCny0I9Kr0X9nq6kRLFO1UBL+/GEM3xnVEAD0PlMU+mNAvkAwHRQe8peZ
wLEHHTtdvqPXxWfRLO++aj6Zj58nKPty4711IC9zzai7SJ8OLpHvLlV9z8piI0IF/fhTvQ0ZQr7C
cbkUD2gQuNLfVkYF6Ipya09SQbRJd6kDOgyh5nc9NuS4OXfHOhvJTLNjJLCJTGDKFLVntcx/l2uw
atR1kubAIppMuIQ7A1n27MH50jUXew2GQ9ZWJ6wLX/gmhyoroThc9gJ7lPJPD+LXKBtGiNxrCDbe
lkKpwMHJK7vuYM5wviTMgiM68HQX69MfV108ijXAVBQCnveOxYAqz+xHhTi2ZQyC4DTj85MAEWzI
iaqOtlCsio+/pjc1EKMUzkPGhPwVrPHdtyTm0gLZdOyD2yj7B6km46G1o+DWqbzg1vVIuF03c+F8
rZQyP9lk5tslYi/CCgQWFk9eeEMOQ6Vf+et2ASkQbmp2MPCpKmesZXyX4IIJ2aIFEK2AxrDCyMET
qg48I4ihLwqrjdO92U8Aa2QtT9f6UML1m3OPI6ohUpPGYgACXr1qTNvS7TI8aoz00usnTfBfkqmz
D+DwQu3KfQu4J+vg5S3Lq9C4DHZTz0DyMLZTDa7mdurSkcoCI4wgXB1B6rjo02aMF69VaFtnZC8z
ttGNvLySrp+dt26v7ZSdupcEoWlgC56AkDX2uEfpHqZGRLxnOmHtnjMEq8Ru69M+t5l6eAV5EusK
O+F1he78gCuEESIZdwbgPiNp8NQaGmJscQrUR4zErDlblFAF2XxzOIBOGd9l6+fVaabhIBEGqpbx
xsDCJ7kcJ8Xfe1oD/9ut+sUetw2wFCekia5INDN/Ojfez+JzzAGGtwEjZnPV1Oy1RDBEfmlEh21T
bsQtzKypVUF+Evuauq7VXCaXMHsLYuPjZvw/9s5suXUj27a/cn8ADvTNK8FWFKleW9ovCHk36LtM
NJn4+jOgXXXKZcd1Rb2fh4pw2EWRBIHMlWvNOebwIBHM1lskuDzdrVV35WO7IAHdinGw+j2yIfVY
kgR4m/p+Wz4i3JPfFVqpBetE4S0/HL8Z3YvoLXRqwUz6+QY4Ai/kq3sfHo5FMpYwI6HnsQv3dlpx
RFgRoEbRsxlKtfc7Gh9bx9K2eKaZgcYnrLXv7BD88xdpLyaoqGenOfWqGI0n1ea8dV8u7FqRidSu
32SVI+27Zp684dHKjUxuS26X7J7zKowHSwdAgpDcu6dpEjIoMVBORkyPBsiCb7OEe0vKHdQ00+qU
COY8uHWnxJpPGViEhH3VQoLaisqyGWiMcjmoijMsXZrIJ9h7NBkiWI0nKkgVHjcYeGdi241csDd8
1gFemnH3gXxwXci/KGducIUCgSHuWhEDvehW/aSNk9wDdMEKMq1SOK8a+TBOpqxnt7C9jzzJsmQn
R0l37Ndj5a8yd3P1Zc8B1MqPhlQfsUW1Yz1byspQLrEr9rFNpwmziO9xF/Xh6l/PKo/rasua7+AU
cvwdQ9E87RVmgvtcEZunyL/9SDxnLSRSl9oubAOcGVYx8C/ESqroSPY5Al8h5P5z+wuYqIr7rHWL
4NYLkpHpiJmrYo+F1ZRntLk8pnVnwI+qtMuFdUGmOvsClUH+IJueD2KZgA32XWXLx2ahS/91VIFj
gO8KvLJ8DFsivC6eqqxnvygaZpwAM/WP0Ci5ZfF42e6DtjrD32aa2piZkDUHNfsxNNOs3WS0K7hX
XEMnWCncwQm+UJiXAzYKMQAi2lT5RNdzkySI+2KWcK+4qYSE/qQrB7WZBTglpCXBuPSmNk3VEMWb
qyGscZ6PUzH/h/Liz5lZnOAtJCNOQP1kutQZa3X1h+qJEQXIu0pa56ZjHerjCfGEOgqPIz0YnIZw
hTbTNQtHaRkziuv1J+vA8jM2iDrvI8ipDi1YbOSAKRI6/IWQUcIz3eKc2j0bFDAoflTWB26Jv9+c
/lr38YFJXOfMCvH5Lwf0UI5zBbRfnMHxqEcra4zYQyV8q6fABAmg/+NuiBaSi/HvBwXyTleZJAc9
tsY/J+UZ1BWdMbbpmWLtth0Co4irCbHrgRSetGcQ3Rv90RImJcjcR72KR3cK3GPkI73b82Ra7SkJ
IMhuFtr6kAh97t6DPfAshE0OhbFtRvwGlJ7PlW0Ny8FNmvZcyDU9FksRT6rFPeizkfX1Ensko0OX
mBuuteFP6rFaz2K2tXgfQ9Ox0xV9yFtFuGHSnQiSVfPuJdz+s2/wtPn8Imi7BzmOe/Ic9EX7MFyF
5XATzA5qR+GgPtUkaxFdO3TWlfWNeipIc53uwO6sG8j6yc3MZSnos9R+tnhcl00erL0uKcB2GZlm
EuXPfAxl56HaQdrv3u1p5ln2W7vP7lS2rgyR9pwTOtNMvQgeI+JcegNXv11k7Kp2iyf3StBPYOz9
QPvdmw3GI7thq+L+Q7i14OYKvOlxEQ2oDqey1ZcutJTx1bEHrlwuCXRmNNaq9kQXnuVoIi58iWmD
89ZVtx4ou7Hk09nFRP2uFg6ZG8MsWNTBJrEytqJZ6WxQC3liS0ZuBSLG11EjuZ9Gwcuh0aDn73P/
gWgV/rQpey5SrhlWbHwXs/dbNqM2PbqLWdc7riMlg5c7XJbcqFgllYf5/0kvLT/rtEapn4lWqLKb
Zf1JgvXisL4yd5o7h1Ffb1B35dVgrGqoab5kiD0eDKQdaoM/Sx1XJloIcCm3yHAUmoewAuiJ7oPI
smDbTna1o0Wfbiuvt1aan9LP/mAPV/SXWAPqIoFltBDi8pEWg3fROvVfDaQX13nqqnvHKVMOvJBd
sE66YZzbTfDRpOX0pXNMSgNr4ZbNZgAS0zyta3ixSsrrKik1whXfg+S1Fo8G6UrDg50vrKPetFZn
kwjWcj2v2efMQbFjSw8dDdkSY+9YTO/dMFscTCuuYX/DMMhvlzvIZH/qAtXLO/9YFz87NavHvDZx
2Pjw7Zldc49IBGhjnLWR9QyZmZ+nKo3e3xjJzG8LjqvCxRfQB+bK8HAFRcNDWXbtnOylaXTyTSae
egxpYIudsQRc4NzubP9QQiA5e/BHu02CyOWYTgXnpCKhTYB9tz+O2aLVrdOMXPqgHXkXPFrFQgql
xJkGXJvr8quV+TnBbbKSmqRcFsN4NcZg6W9RsLHRaQXZka3MYfldalwML7nLgOkxmQq2xdoQ6GMm
xzn92soXXXMtsTRwLZU5o4OPopQLgQtbHJGBQLp2WVWym66n8Rl/3silMvjhWsiUYutP60MxCJAz
jLaBrbGYtzajMwNucWiFmf+mqnC074oEYAUYJ6tsvwVsXNeM+pbdu6p5T6NMaYcGSSqKr8ISoNw2
3ghm1UF9WH5B3SStDDDt4om7tm4anzE6g+VoF6wH651dkkmy4Uhc3Mg+4DcfKrouxbA46ks4Jn35
wwsam1LM1X2a7Gpzsu27mv1n6eHBQGM7JY0d1nD/Wt80TxwQEQcRYo291CAPDRDyAhkoT8Nrw9Hn
zZvGBBeh9RQQrDfHVt2OL3R4jB1QkQxtVCdjZ0yzk0PzF0p1glCizkksQRyGRigLau+I8chfc8iK
3shxcdKJ37ud5zcFtadOGhaZ9tR1ofkqEQfFTm1+NXAabYYGrE+p2eLzbFbh0Srt9PdKJsEPlTp0
uKkF7obKvx2RPuhdWQn14LdB+tVzpmZXs0lxGJDOI7bz5qvlZvXeZmKdkMhLsWAOgbiPUl0SeFlS
lNtLWV0QNlQvdiEDBAly2C+MCDfGpAh4E8DNsF13d1O11LceBpvdOAfVA8t697WIxuxpcqv7mSKy
OIheuvte92pj0pY/THmbP6XSr15Iz5TpXgwN2Ew2sG1V9stNZUTlHgp7vpn6uVkRYZiH8slpn9l0
urfGq7tsWyyy2Ye52X7J6BNxaWu4brRDRkaewaiuna8c2hFTvU2TQP7MRSC2FfiZo72Gq86w7q5e
KgN3m5leo4FhUg5spbCncy/r9hBWvV593k57CjJl71PPemAc2h1McjG2gu/4RkWI+Qmqs39qMIRM
O10H47Uf3OQp6jL/YMil3HsGsTnomZaQUA7fvxrZ0J9ZsPWRNCp9mg0rIlmmnHdaChEPgAnjftQF
JDPpP0/5tHw3zao4R2G0nJEnRNWvVtj/zUn/05x0VYv+oXr8i+b0+mP+fzc/hPyh/21S+utl/5iU
Bs5vTDx9zPLuqjmlIfy/k1ISIjz+DbOgNc2BSeq/BqXWb0QDgtRhuoqpwlnjGf4pPA3BtKzgBP6L
SUuNtvN/MSgF0vTvxeeaQ0F/iXkt7JaAHfxPbUe7pwpx2CqOMIJzh0fWGXaapkd5psLDN26KfnpK
PZkgvcqz8TTlzfCAaG+qDyXQ2DIWcIDhJJYRVVwy4ngaBdt/p9DypNjYEBZI8xCUDU9a1OPBVsaM
t9fKnC02t+RZ2Y335jfTR2Vp2J1V/Uyuo/c0lO3yIEX03HYE71UkhbubFkAaBEIrIDHBgdQ2zi6k
prAIrUfp4zMZusF8i1jm2YWN3H5smrm8kWIaduiQ8pjGIBpxwOo7kpXUFeOX3FqGZT0mmMF3Ndvn
T2mL1tygA8SMM9WLOLH74h4m3LD7cCYKn2WWETZyUMKfF+pzTrGGH/H755zPJa+eyWxFwSSW8AAv
iaDgoh5PC4maceCMvFB6s7S3Nlh7SC91VEdfpmLp07ipQvMNJehy8bspgkIKnK824bthZRMnWBa8
uxWSlNUU8MRkPkSUNa0zbjIGit6GmE44arN0SGMqwnFthqTG+ziSKREOFAVIVx3rljDbyDzMnlW9
6rIKwB+ko/UmQJzAd1Ymf62qM3UXdpXxc8nmKFZOn9zAis2+G4g2rx1DuMPn50MZJU7c2UJvoHeI
k10N/BifhMTAD5p5b4qxOYwjHL02hN2Hm9fYSRDuO04cJDMFQ27fpqFFc2QzDvAqb+kGZBnVhEUq
iS8H4ewzj+Lt4CxOi2k0WYxNY7QlAaLtaRLuQEFRTON+yFP7rTNM4p+tTofmgVtlheLV3AshMT0F
rkYEsauOTEovx7HnEbMBRfNVUNU/cebUb32XyduwcaLngqb/PnMo2bbM/RzUxGN6hsOffSETkmM2
Z4qz0fFjh35RUucNmPinli9ZLB76l8UmRYnpq7spvX6YN340+BvyoZf3pZn1AbBrdKgq2/k5+w4d
nUTUdcu+xAB6m9qIJfdRYQ7Ztaxa/lYEvmTvt1j57Nh1Jn5hytk2wEaalvIxAQgM0XcuY4cTFLg3
M7nUPsdsDttzCLQisiAtZA45HSER3iF9HFy6gFi3iuCo8FBapnwaWvcNzut4W3vmlyZUGgMrG2q2
KcbFYO9md69TuLL0wn1/D6c0iTk2dTEC7eYmJbCDcpnM17tlqdp76S9YoQ3H389a1/cA8KybEeDt
xrL7dFdz8D0ugOF2QDKWm8zty2pT2rMTz5XnvChyVTZerUMM5QKc4IwkDNVWyYNhMw+lLYc8vaFT
DWt+WDFj2KLjcZbGoe8ceRmdqLhjiFSeG2P27gcvtXeAgIdPHpkJLp2zQrEJjci9JRI0H7cz5u63
aTHyS2JZgPxFUZD/w1lO89MvHTEJDX1kokCtFu+4LmgRxiav+Vg4goPqKHD/HYHZ9ThNTPjM82Rl
uzGbHEgZZbO8KE+boBT6jPxZILGL2bUcTzx9sPsA0zthDO0A7rgzjV3DGRUYYDUAHWZP33EO9QAP
slBYDHxnczv5AKxnEqAeMorMLxHf36EBtajiBOA5kFt/SRGYJkUWG5rkEI4fYTls6rWftjH7cYxR
prT0e5tOxKKys2eMyeYSq4q0XlvUxXkaihKiI7Iwqi/bR2TuU6ACiVDQ/9MGm3ONTxHdsMi1fWqT
Pri2MFSeSyJKMCDZkDdRHhcOb1ENsBbDRdzTGS5vgobxMdzD5cH2J1Yl6Y/J++fK0pdD8jNSdXlT
oelfOwyW+esp6qC6PKmFNUrMRLz5hsmyCm1mYtXQ7DCi9ZuDgg65kgRsl8dhth8tb32jIRNq2yDx
c2ihAGmcTY6Xm2w2oubKtq2vUpSt3rYtMXFybJYLhEnvVwbj/5VL/6lcWkcqf1cuXXKJwBcHdZf/
W73063X/VJahEaOuofsMjMpb9Tn/Wy9F1m/0l1c72r8qJYd//GdlZP6GdAwxT0TyEiWS919Zcv48
pIo85uH0xIKAmuivEeKjOYTZMGUpLXtuE865+uCQFJxvXPYAa2ummfgGaqP/1lmE//zhstz/av39
MUbKD//UhUTZBf6GXHammU6EWGFtGf6hf5oHKIzLTpanGp3nJUjhNQPjpd+w1GjCvSEzj0O/JkXR
0GNObAGtdTfTmr3Uuq1+we0CqoQ2BRa5tvThEUcWuuK4XNsISG8J+tEGs82OMsUmoCAfl3OS83Dt
GtmxONElvEQsEccV0pNsdEYFdP2M6CEggC5TnwOKF5kT0Q5kIvtI7yiIRZEQRz7P9P9XvvRnEhBB
GxSOnuK6+Q2IYT4mVUIyN9RTUbPsEYSx0GJXOmlONNbGz1wDCFmlu3QUTxZwDeMmVBkLoWaHD75P
qZOyvUSBYb+aU5Lmu3pMFQUnCCbvHYchdIyV5Ttk53ZwmLWt6vxuvu9tXC6bIA3n9Iq9Jgv3bamt
9HFOTZ+Rbln3LqHmNTQDW06DuTUy5Isny13/nynA6uBNibJrDn6PFTAFT08Yqc5YPRNL0vOy5nBx
QnA3vpWy5NZ+YgY0VJv093rR6d0U6HbXwmrONzLQPerwtA/fFiTZLP7WrHZMmMhv8ReUxrNah21A
ZIt+ugZYIWVcmqlzrBhpgmKBuTUngIhE9cB5rzrUojYJvQiZ3ET7TkxhQQCr35/x6ex7t+/u8ULa
3DBdQDDDmLdsELh4Jl+rl7Lzyjcz0+UmqJosdujNxUNeej+MRhWPDM2BVEWq3yL2jfYZrO7TQFzB
e+FBewDBjdc9EM0pj5rhBh/Ukely9ZiBq3iYFGd1pG1pEEP2IE5q9m9k25xUpJ9BXE9iY0SR/B1J
fPJYw5rfKrjFp5JEy505D/gvzUoSe+XWMT3b6qWdAGL3hpUdUtVG33wyV6qNSERxP9Hv+0gnEBEI
s7V5jXSIkhinqHEDzZ1XabMxH4Qk0GAmLejVsavnwujsdx80ahoTgvAth8j06mMwWBux7p7MC/eU
lvUEhFEBp3fmH0kiw48FR9Eu6lp06awJw4dYJKp2JkhWNlPrdfN5cjPvroLosncmZNY44ZP2KJg9
negQ+heiaKx3ZY+kp1AcM0aeh1NUlNC5XR3R0G/ls2QEcOdgjjiWTu2cibBSV1prnALSziNSPbOu
gKiKt77Jind+0eqg1OiccZhVx7FpCEIg/fdbB58mobBMg5tcOMt97w3TLa63cEsLzZo2SRcGj7oY
mC0ZhsOyQlTaJdTCeYgWXECbmUfiWCmRGBvcevlNQ8bG3RiO8nYSTv6FqSl4ZkfP5gWHV34ZsrJ/
HiF8PBEb2t3Qxm12BnFv7y2Cc9Az/nAevJZUUTUGxY25BIu9t+qM6tCMkhP5wfNhWMyUMXwU7jlq
ej+9CZIQGgL9RRXwvdPIODVlVxNFkFzojRKkMGacsiJ6vlaTnuyoO2vP1HESORtK//H72MxMBcum
OpqIWzaNh5zdsiQg3bwJ9naGQ2JRfv872N/xbPZzvq9ciC1+484PReuRYlOG+tiK0XlAhaffRuBe
3xhxTA9ckOROMfj9sgTaiid3rrc8J8O2rVVB1I9bHDq38CG3jW350uXMU/nZeVqMNfw9KLvvxJwM
hyWsFY7NxHR2ylcuMHwx3AcWI694YmxMsBuVTig9++diZ5GxMRnocCsDe4kYX3SqnC4Q8O67aYiu
dmunbwRKVgdyhPq9oq6cNjC5zYufl+YlGsroarS1/aDVNLJRSM2IqV2pV5W6q/qxI+mFBxU1aAqY
hliBOk7mQZ1ypu43XUtuBeJfOGWj01xGrIMQWllqADgxHGLGaPeu9eTr2sN6As00lr2vv9GcV4Iv
HYp8w4m3OEot+99Ln7xYRqQ37CVoC/vW/log8cX07SHm4nDzbIlCPqbBEFyRWtBCJNIDHYIu+xfZ
jNFVecFymcBVfXTtaLKjWfNjlbc9zpJWBrcNlqnvVNWFjtEEAANrvPkG0/Z0SKQ1XaF14f2o7LUh
2PevM5Cre2r0ZKsJDDo4ucoe2Nm6dz8a29/DoQl+amb71cYfJJOYKP0+l6pYmenRJgH5NYMdOmsl
vS1cgSE2Wj5nHBnSOOEZL+aNKavpo4OcVDF6YfAFFttgJMup5zXBdrhrA5q3pFrnSexxkvzZuMgN
yMXuv4Rp4/s7t03r3500DQ9Nr5LLaCXheQoxslSKujeLQqgeJQgnIO3sJ5U7VNfBNWHjhbW8lBbH
7DGU7U3fGgCkBsYhhVt617kKmEFNzfglhEdIl4bmTCzJ/CM30ZnHhy6V4e1iRPoHrYBqXLFpbNeA
F9NzNQ/Gc5Z5/jvYG5ae0mjpyEijIENwHjpISUuS7AjeaAHsN86VAPmGZQkMYxlW2uL87oWHYGg/
74mZTpMdGQwKrayNwTWFHyVq0L2ZOx+0uduLkTb0LdJUMlVXzu2M1ZZlUNv3aFXMGGz4Zf0BEdo7
1mEZRqBTTb7mJ9oXSF3FKbVpB4msae/b1HZegnCYdiowqn3fY+8x/KJhgoE+A+mPTT85l1ujdTpm
haZ8CEgf+8Y5ohpIGuuW7ThP0ZOFvXff9NLem8gHnmFMZm5cG517XyY92Hh7UtFDlZLChkqrjWfT
uQ0TMfOz17jketO6DK6vbqLBDnfIO/of8MzsAZbTHB2ToQ+ODH27WFZSY0nT8r5bqu6+1F1/BOZp
H5XjNTGIeCOe5yVaDoklgi/UAvaz4twL38kjDSisjfG9JkB0n5Tdm9dXwc4oogd6GbLg+5lYdqlT
JByomfybYijAX3XCOPmcl+jdub5I2LT75VveiRpyL8FUN/aotl7L9qbLMOXWdOW+LkrvPqE23Vs5
m/VIHkOxn0MRFFunX6g/FIvw1QFqvoVV+EomcX3H0M6l27GY7oH9rtlPMJsALdLHMnIrONpEFtwF
VoCMxQzydwo0X9IQpxXQ6+Q4dkUSpzQY7U1gCas8eRWOK+5sJgdtN2WxcFWB/9dsKV8nyUjDKOdH
H6/bZl6c+eSbmoEHyH+eE3SB3BxR8J3CN9vBerEPJYl/F3q0FNOKShWLvW3OT5NZpS9m2VYvrk0N
6KZycWOwHv1dVw7ReSl9qpXUS05m0GF3SlEqMKjHKAp/dUpOUHHEsmXeUtxAiIjwnE9WPlJiRu2x
7u1U/nCge8qIQQ3i1ZCI7Z540An8PKIMceNVWY83SjoX1xX6GvXC2kZlDrQm7dVN1mBSTyn83xY/
PBeu/5z6cM1GO78i5bX4lu5NXQbWV1Jv7Q05xlWMOwsxV1AjJl8m+6SNAA/gTA+2H8lc6JzlQ2Tk
GwbGQ4iNnen+5G8rJucb2ZPa0Q7NfDCJ/o5L0HWKI8I5r6x6VxXpCz+Lsyf11qW9Fo1bp6K4Maqc
HJHcuRCf+G5JFznVNNCDoVuwLctQkOJWcWHqOaLdCFAOmku3QaBDSynrnX0z0oJLG31DlO5dpl37
1RHMtOJQtXVsgjLYg4Sx48VQjNvL0dkurR42rVvjMaBxu+SF864NWx3wXXcEJ4WHCMPgnfKzMu78
BnkTt9+HIYMdA/7kGbGCf+wgW954tjQvWV3ltEVnly6GYJuTWX7Ku4DZjByWGCGrF2sXmAD01fTa
MGjfR2Wh7zyTL1eE1S5fhppzQieGXx3nvz8a/vVYCoUCac0Kt/EJQP+TsCZLXF3RcctPRS051hmK
IFJazazSHhSFJ9dsOJFSSzVs2eRb/P2bc7b+o1BlNXTZpBvbqxWC+cSfkx6WvBG+Xrr8ZCmiZ5dC
EPORVxkgw6h8/Pu3+pNmeH0rKBj8bz39/tULlPd54aPi4K06m8Q5nhHN0JjBxI+/f5+/JK6vb4T2
NaLhgGvN/3P2At0g7YoySE9jl+g9mn335I+fMbD5cN+LEmX0FGVmzo9ef3Qr1YxVhRQZI8nWw3WS
8ek+P9L/9Y/+Q/+Ifs8qffr/2xJfc2S2Tf5viJd/vOifwzbvN9tF08sz8plFsP7a/yBDhQBbQJvz
S9PfJ/tj5T/9E/FCHDtjbfhPJspgGxbLv3pK/m/8NUTRzCxC2wYN8d9M24K/xI/gblujMviTfAp4
U+tt/4e+Tjj5bQt10zqGoW4qhkxtGAuIfvHS6P42nzkRNMlX3YQelS9hRS/myEEVgV17zrOUbbWl
NxuJydmjUbQSBFheeE9oZnfGT1Y9t80qUcZicOqT4RmQswpjPfYfJnF1ggQ4LvALHI3m9VMd1tUz
SozJNsR3b5WEtRnUM1cr76MxYa3Eykbm4nTQNhAlu9Hr4LfGj1KRAlQ6nHh+rOZLDnW5dOdr1gY7
UWPiT1VxpsrvGBNNSfPMoTodClomo3sdB3oEtLhb49lwvW7YEJc57bpV4BHwpG1knffuFgGJulpC
EfZWZuHXqqyI1JPDFHJZWmohC2ExdBoL1HTpE4eCzLvdJfSdvL3Vm+4mkeXvbr0053TVqXjh4m49
4ZZvHC5g4FqJuzUwtMZV4syvn2LuuqWRdnLlSEBPV3f3MB/M4KASnI6cdY33geSq7ShhB2Qm0g1A
vhVntmXqg9dO5hOIbl8hvVmoKDpmPYnZ75NPdUywMKS663MHn4rh+daz6FGljh1pUti85+7904eA
Icd6/iWK+SVR+ZQURSXNVqr72Xr+5ZeoujUxiAQnVGSixXeGJYh+YDBINOMOjXAUYN6EygaqMnIz
BDzI+D6NAxYdf4Ysq4fgl3IboDGKpJ6eAcarT6Wc5+gyuO3WVDzGjpwBET4nr4UbovfxRrxfw7Qi
wKsMKPs2VRD1fqnNmgHZvjUa6FBFOLXgLwUqQ5tqOf2VSDUjUUJsPETOyQFX9NGpqpcHlxon3wCC
Xs5Ro/nMn/YvG9UPYlx34Qvh+uPv9AIR4rDKpHEJaT7AjKw23QVpgfaonhLk85/a+DQBzbr1aGIU
21AFwADCgLHZNZmoRvZySMz0NHSrfy5ti+F7UbTQIoCdLEx21z+btT1HdSihaI/wwxNstWHowH9w
wwbpvfLXLx8uAzKr5VPqJea1o/mpX3ep8E9KZfwsn/61TwKia3R8iWS0zXtqGJ/0V94RyQlScXpW
yJ0ri3uzn+xV+req/mZRompzXA+VtTvbnEiFsNwPE25QSEAmRgx/dfn2TEmmTU/69THNC899SAt8
eiWpQO0pd3JItAljXgf4Ys7fT52Kr6Vr8sYy4Dhf3JU28/r5KWkrjSltVjdvYqwSfFiPaFW5ge5m
XSNR4R+glwXqSPoz/V4aYigJh7lEiobofpWXmuv1CQttyuugoxUVsvLdGZ/jmdA5PekwShHC4boB
Ntoa3BDRiqX/pa4PSAc6ugjq9D7vu+rngmaLgELf4L0aywbVkXpGWB/aEdvBObBqhdKuK1WsgpJg
uiGyF3BE/vxoziGSQEaz7w53mhNzBiC2HGMdyV3o9TE6hGPcdl6oN55tUJxLG5TrWBOTGmuE9Cuv
IjkXkY5ee1btbIuAwnosMj0sG/TT3fvAcTTZB4WtwKZEzqGYw3q/MKKIzSn1HsZ8kN8KAzU0vAoe
i4q2ylPoG2jwbMGNbYtZ8GW4ALdg0Q2+Xb0SMZcWh3E8zKJytl6E2TjmkpFNqJhKHGdc7d96sngd
GlwtXEo3mVFb2rKkNQlx/YQBbfWGraZlgYbk1h+JAuMN6/lutjx3505UKTtjAMtMBq8VbQjI7U70
+SBBVWHGgYkd46GxuuaxmpilbRjzFu2GXDz7JWqXYG/MQv9wg9q5ScSQH4sptL5XdF9ewxRNO+mS
ZC73ws9/OIA7nkfP08whGwBFRYXmLTdewLGI18x25ZaQNhLHqihE9GshULfxI9xaqpn5d6rZm2EN
L5tZ5A/0vyQ/E2Mpz4RiBgXWwzUbul5jogEKSXhlCdnRyGWs07iI8kLPydt6nynT4KFInCbiDuk+
AcdijaNmwEIyNSU8KdVK9/qmWaOrKzKsLRiGamcSZsZAJJykdVuVrOYPi+tkp8mEPDP5ar9MzsQB
tuwu89gwOTfG5L6ZBKuJDqB4GN34aDXNmwN3nWNZJJf0MI25c9uVBIC+JEhqX+esEk/V7N5n3tQ/
IhKldEwlehNkR09NMBBvwAggvOsR0R8xL3c7pkrmW2rP6uwm4fOS2v6XUWr70II2EpjhsZrxfBCi
d5xww/Dgz0fVQdEeO/teStDaPrI3b1eZmXnLzBUaWNIP5oPMWkJnsWlzYhPE2Rbg0jYMx4kLZbzc
mNssyeavSafqiqTR0Sv2gNzH+ghArsI/R9AhTpa+5QBmDs92U+IkwD+IRYUMtbsRvvWmRtJ6mnyH
u3p2iq+K7f0Mjmy8cpj+ikeoX/O/OaQx3uh8hsTJcItaoNhOTPKedAQAUqvCeigtf/g5gbT6qnGI
9B9qMKvpIaczkZ4H0gpOaVU2cdeLN1svyUNGNOS29Eva6Sizb+HgM/Ylu3oKfMbh0jHuhBj8nbSd
lNDmoP5RDbO67Tkg7hJP2w9FPkzvYe6TqV1n/n1EhsCdGmfAOWWT0QKBNNpdAyMpL4TC24Sljqbx
4JYtTT9OgDsuV7CZ1r5OJ+vmaz4OtAja7iUZO/OmNMXrwJa4y/C+gAQz3y07PRWEkNwa2nPf6LMz
JYAVjruHBuUuAc18JriCEUDYjpcxEMdwnIcNmSbDJjMtaMaIRpV7O2cDo76AZEQ7c51qm3b2CPVS
G1ff5VZBpHVbz2F7tCvrC3ExwSatsFsI9O5MY4Zy6xNtvrW6ifvA7lxAYH7EThElyzZ10S83Plv4
fvXDg0W3O+eBpo9/H8IseGoFGRwb0YCXlkU2xOWi9kYwgDQSZD90Y/rimz2WD5hzMKDWFNFGe/to
qOunvAAqhZaiqFCTWvlW2VVB38FUBuIfH0a+lll2XytEP6Vj6mcTVdlZS8f8YgheOMGfu7ACTcdc
MWLeDjV9rQFwfteMWKWQRHZnh5y+x8yrqynWjZx3sNxRM2RziwjFLcYH5hPmViT+iQYhjCvSOV5o
0iY+ohMyw8fsrYAFFXueBYEvVVP6MnX0bQKpBnZc6dz4Xa2OykzB7ER0hPzR53cg63z2N3VNWEwc
BqMv9hq6Ok9CPdBrUF6/d+FkUHhlEXYVDD2Hbobn1EV88QkM2lNStMFeQmUvUBxb8zEsZL4FSQQ7
MAEAoYT1mCU+AldBx3HLMFGemayAl2NwN56VcNv9bNvK2fMadQlq8FfxGnD/nUAZ/2dYZfMuJ6uW
2NtoYDgUBP1xNeLtqrW06ughbKpJY+ByESgTIVv4O7qT3a5ASByHjH0uc2fZ20RX0LbwppOfE9jn
sqin60JmqfPC/lZeUBw72USnRf0Pe2e2HTdydtlX6RdALQCBsS8TyJHJmSIp3mBRlIh5CoyBp+8N
lcstUfWr2n1tLy+7bA3JRCIDEec7Z5/yJuvRdrvcru+Gco6duwKYIakS8h4bTCZsC6rJ+pJzGI93
PngqvkA6e0EGpzlNOfM9DsD5XOVdt1UDBSBBRir5tmMbcGkWTcPKq0SMS26EVriQ/KLl2f+Mha2+
W6JpxdPGyY5orjrbnW1fMSlr6f5oWy0cans4ibroL2aG5Uww0vnGsPvuIZnKUzu1F423zCHQ2Pa6
BDD55rBa7kkuyZNBS+dext4jG7Vp53YyHF1p3WYQY4lnjXmOO38u4+JEYJykVeovUJwmQpYZJNyq
pkHVdJa7QejNlzkvC6YVvlmMGzLdsASrgQsiouWcD1Ir39Q4dzfI78u1liwy3cZNag9MI5qHZlBV
7m5kOliRuS+RBrVjNDv7NhHuHfMcchLFnFzQl+5GpAP0137ym8vZZiOXetwLR3qDIz7nTOVbj2Ch
e4eLAs9XWvJPctpIIDk3mNLJPDLAlmuFRjM9LYlVYz2TXuzexGbT3vD0O/YlT9Dp8MNJ/m8sD7/o
PWvI2eLQDmQDMslH4kXOZgmeoV4fbLUGC+w04yA7GAU799+/0C8C2vpCvmPxRIDmYX7UezzJZr5l
jngoCBG+ck4lOtN/z+/xMZC7Tz2OWXE9sx/9Ht/4T1/dQzyjdpR8OuSDj7nuhoyNqyvojzJrzAdn
mrwQqUuxlYBGVANxdRg4uewHtWlNPPz+xY0PkFm8vqTxkLkYE7oCi8x6bX5QH2iM0aI6kqA8wR/j
OJtiUq9u3poPVUZ7c2gZa/X1CCr/oo8btiu6pAVk01WxWxxiiyDn73+gX1wuurA9QUOVATHJAuL6
888T+9OgTOwbB1ciu00C+cFOE/NhUW731ZfGP+I/fhEwwVwABzARTymNJ/L08wsWyaiAIXQ16A/p
n/sE3ghxAW4DrSeKZdbDW1IQD7yKR28QRykdESmsj1pSAsDOSLl8px45bWXJ61KOxlWpOUtzktDN
Hkd8uBgma3b91lKtNgJy4F/1WBc+Ko7VL/emoxEca2cA8+nAqLFvqPCp7XHq7zt4Wt1u6ZlpdgHz
P2G9LBwi8Zd4M6f0mCgrB7yYAyhQSeOhdEXzeSroa2edqN4J3Vb3ApodoMi24/eDTW8+6yW8Qyy2
DL7WB6bOqdrQottF6wiS+MRfu723ptsVv1FeWzXdI3tJdnnedqCRPn8XQEqnNa6+f+j/lTf/Ud5E
Of/h+/FLmuDxmyzrqv/RGgd5ZP0zf6mbxh8WNcsMJnXDhJa21rD+S90kZWAhYyNT8h3V/3TN/QVd
W8H3NvUPnIy+jw34UvwFXTP/wOSG9R/5k05ViEP/ibr5YQk38azhvUPcFHy9CP2uv/7D6uIZ47Ck
jB/RNjvMpwmVOVlMRuiHa/I3D4qP67fn0PTAegE0BmqX+EiWirDcIfjR9jBkFYXbnNdo5pmj+mX1
Bt+UDkgBEqvgEbB4Np9//9rrtf9pALK+OFA7XGlcNvBMH94iXabFjKvMZzH0kUJc2U3hOBu8LuOf
uwzE6Wvsl43PkpmKkBNP+m3WMENtEdxESN6MwCFIG06YXhEIYr2nIa+T687LiBlzeIZYqWSz7eKY
dEPnYo9CJwz/P94Egz9Q42Q/uJE+rLo6YgAY7MU/tAtzjtmql12pIWKl7qQ+tUKHxGzkiA9aia2d
8TsrjU85oV0Dr8Yg5s83TIznm7qj80ofkXd8H/vv6GFmmv2RVNaIaFlyGtop+s8pLFpr7n//Hj6u
4+vn4IERgZMO6o/V7OdbrbMEwQKX2TlZzSkEJMUZf8Sh6db/1GLz8RH1/ZV4ZjNPWKcGH0mCKKr0
kRm80kge/KB6JKze8dqT7EV7q9vUsv3+nX34EhEAN7ivXYzz3OIYUNc78IcvkWl0qLIaSNIxTuUt
qwOh2YHn4u9f5W+uH5Fz8qJraTckug/Xz5csF0gh3kFC/NrDwXtvhJ8e8s57+P0LfS+Z+SHbvr4f
gsX6Oj9hXfhlUchiw6SF0PGI1BnFcXE7c5v43DNK8cGpUjDDNBLs/tDJ8zt6WbxzUzhQxzO8gQkG
7QsCie2tpPwZB+lod5vGSJFaRzITh3glPLLHVvuUe/MTfJRKBQKTAeTQbCKdacW8yNxY5tbwYJV2
oFWeJmdJD79/k38ycn56lx6ERJYG13RJ8CPS/fypRXAsyOXK+UCLF+TxuJ6Obhx1R42xBk7TDlqb
qN+x22uhTeASU5ObHThtDbvRaPpd3kh51eTptIY3mcmDBnwy0IavbF9ZLy4a95PdOltpTOa9gYzK
Bh0FOZBMZh5MPcedyWg2xK3MiCKuzLAiTb+HrG9kY/zCcpYfnN624XyYNsDcur7g6ZIcyibC6ot1
4ACrWwEVTsstmp2x70TtPUAtzo5wXcASG20CMz6O3hIePAFlX0xLmmW8bgpjajfj4lrn0oPIRRGQ
vaUW1qJ1oxkCTsh1EfQG6Pgc0P9j31VB0VaMcUulXdtg678q9G3CvUm/9iiKvR1ZHOkyB+jwkjcO
g5rFov1A6Bx/uvLJxQTy3uAYmmFz+EoFPhafaDPVOjVnVTI/u16Fs7k05WH1LR9pIpzPxDWca6fI
vbD3UrIoZECn64Ed/5cq4wAA5wu/ok+fa5R/03LNuyQcrkG+TVFQXXkqS3IfhWO0oF/8I+Og6qqO
qCA0kTD7TSyltsFLsScBcl6vZ1gX+HjAYWkb6odwL5Xis50QI7GYEKzG0vJsRY36pBU5+SWj1Jcr
xicM2NSYmFud5wtxsUnszdr3kDkt8Ypi0d1kXKfq2OuDH7RuJx5ya0czA3fESNR3aIV4ZYJR7xBw
tVA0M50wWMHlp0p1qN85HksmgSTP5jo+TGrYJYm4NaNy2LK2jce+qFHHAHZ4WKbMr0LymUvHaOjU
JdtLKSqHkTHHElFQsRflcpOUOK6krp8aE1lfjy0LQtwc31dZfBnFzksyK/2Q9L2O0rlQ7iydJ9Xn
ryaZ7HDCjIS1B8YBfk5vJxhznF00N4JWub+px2WmAFfEgN9abdOPOqoXdm2WqGHNUH9nJ9fzhUat
xT6HlR8ozYs+a02i+GEA5yVmbgUJ48l6I/V25OYagRPwGMp3KUbGKsymlGFe7Jh72XXahb3U9Zmm
Lj2QmAEhMHQ6mn7neggNgF4ZLmbN9VLrfEJGZ7QXShnWManm4mCIVD+4NV8XR1M1xHm/JQw9bAlr
oTq5CWftPolIy2fVmxytGHnJGL46bqeexSinE1OZ8ZiPfr8Z48Y6Q4Nu6KDMUaAifTwOzHmuNZXD
Wi9AJSD34BYyjlXqE+EPDZp7kYviktqPZf5kjXq1E7qZHOmcbbZWgdQHvSDa+IKZpsFx5ZwSdtxU
Oh04ds3/BEaQNyG0nPbkN9hEHOyL2OK8DqVLz3cR4sY7hsmpvtI5jodRw6ZgGZXO5BFLbgPIO0wZ
r+6NJfI2JjPqrT5O5pZ3LE8kvMwtA4ScSS89PuTSuqfFn6xreIb6Fc7Udghp5iT2RyRq/GZkcgr9
Ql8OKsvkW+JS1+nUqfuYpH11rmzXeNB09hcgdZNrYoLsTka2fHVNQ4cT+xk/XTETdhgMUlXAY/O7
Ah3zOctEHuIpnMKUKPqNZuMBL3KD0Ru5s10DrP6xZrB7BG/VfV2w+x+KDEBFJnmTFAQTwizq6LSQ
VDsoJZorkSzRCfGHJ9fEiCggopSH5NSbLdN43jl9Jde+Xk6hPQhz2/aLScoUMXehr7QD3L/wZ0y/
6J4gUNmwf0ArTPlAFnMce96SRnCA4a67MEvIM3srfNzknNYKjAFdum96Bl7U/xaB7w5wfyGiBg2W
rg37SEk1NferIRL1zh54fExHyboOB+WUKUo+NuxtzL2hl+2e3g76/mSt3SleIAm1gifvwliFH1sl
9ssEny+mADPp77C18U95PNxJ3WxDMq7Gs073c0e8du+Obb3vMnOZNuwXxYU96/u+ZVEw8AmTd2ut
XZO087HMGcuMRZbsahElK4fmwYjWuo++Tzd2PtlbN9VvZFT5IwGOGId2Q1Prnsvv5m8SDH1yll3Z
Eq5UtDz1c0XDQF/STikxNUZnny7yhpVV4dClksVKrubJXDs/vz/e/3tg/YcDK2P61T/zP/tx1jxX
DdfuxxPrv/7QX2Eu/w/MK77lmv9qT/rXcdW3/3DXuqPvnO+/bDiWTqUSWCOdTRRYa2ao/z6oCocS
JpQrl9+gc/DDN/MfhN4xv/58joM8iJ8TYxlpZbjW9sdDpDQcJNE2BoVj63O7oZXWGfuNBWVFbRrH
Gj+ztrqQa1Cx00ZVV8uEDb/1kF6Cyh+yrcF9e5/hTFBbac75dcJMIcczAJrDd+V+9lNxomOZreCY
0h9geyRT8Yr5VsJ3anJ3fNmSC8wJ9VmPOWjytC7ONKXmN24tvD3ThGQfuZG7t2h/6IO41KJwLUna
L2kijzmJK06HWNeXpaN5XgzgAzfMfMwLd66nl7x0WHwxBsaBSAbKhTWzPyCYR3d1a1kTcKBpPg76
lzxf6lcXe83lkosIv/Ts9VhiITBN6wA0R16+nnAQQWRyWKDZIdX6kcy+xXbO1N6mWrbvbpP61yKr
PDKhpfwWz2bUUkPXGDdp0gz0kgt5Z+EPOmW5yy6NQa4qA5GZ3zIynQGa2rJhmimoZYYHdBXrVXzR
NYv2RuqEWkajqaHQLW11VGn7PBJGuss4TOzxBY2fkqbv732/n8tNoS3yywofepYahr1gsKlUcGjS
HTZL5UOR9aojnfMQQkw9xT1v+7kbmKYhX1swhQNBoOkJ56PJRa6KL0Xa9wfOKP3OIJXwtuhDcU51
ea0tsX3KZY/eFy3LRRMxaeL5tBZHeCT6mYcrnmlqMCWfZ5w/+6mPPYmrNPC3odgTLRPFBQJwFMi6
dHij7Ds3YLiGs5Ha2iGjAWvPJGi1cZE3z/sUvypJOYE/ZmaAWxK4MEIwvTqJVlPk0Ga4946YZBgX
Wv7SBQM74ZxCIrBgCcnmTRFjzwimrqL1A88CsDh/nt7TzByw4M4rx7YqYAE2WVLdpA6tRlar3HMs
6yW0F0UltPTKy6bXsrOJxYFcRTlxtmL+5GKnAMzwGBHnoUyJ7MgXnACU65Apc/b03vG7YAMdlmbB
0AKsLA5rrzKuQMj4t3GkkmDytG2TlGOQqDF0pH2VFv74VrkiP+orQWzKNC0Jx459icXW/mJZeqcD
t9dXWBSy6FkrnVg7MZVts61fucbXdtI7WAj6NNyNy1RH21Hlxuee+GLFHLIdbo2hal94vJuB30zG
ay4F5Uqj6tVdB5LGO1giZ8MuPRzaqcmxxC8F2ZyoT2gJHSJDPIpRTy5awGRfBmKAFTY7btrAlcSv
mrjyXjLkucvcZvOLDpL7DwtisBaozI3oa054EofEK+qdhznlFWqb/4kg5hdNn5rQaaS4hISgvtnQ
CLDeUwlT4WmLqucsHjojKGTWM/sqKvm5dy1JsM3NmqMX1X1YasSqNxzv/HNizn3Y9PKWPCAEgjbl
+yx1G3MJrtatB+yT0m1yics4dOFsNWloJf4A06JvT+jW7glpHPiXSDJOAh5hppqGrAzWBuFOjX3i
fiys9M4cNXtfp3pOWYrfR9hNXKl/NvMEC5zFYjqiPXM0q8qUjQIptWOsRHtFixRQUb8W/Z30Uk4M
kVtmTxhJWrVpDawqLGbRcIziufICT5uaF0KTDSYh6L2HVqftADSx6q4t7Itvte1C5eg43pIHURqL
y0LROCYjhoxwWMad5iXtizOp6VvLBPSzsirjUhBoYNQzwaBgS6RkFPiRaPGX+1EeemZThk4yRXCd
NHALht7cA1loQqzNE95Kid8M7lDoVO7JalQf0mdHAjOh3xOhJjpmOctmbVjtftbLB8Irw76TOOFT
tExMRxgvXbAAig48zCXbFqzH10WMc7kd2Z6HUDyIPtbJCDhO9+AY6EYxDhdWgRLQB5acmvRp0eKi
OijXqnL92VO4HsxNIoXR989oYV12Hc1E9kw/c2jdwvWG3CLvnLLQ7wDNxDcsizP2+Hw5Ym1/tK2q
umtRu+4Go4s45qTZ6kFz8LMAHB02FRnFEyah/NGrHJNFauJr5VGNfaMPzHiBJxJWistVDswtGLkY
Pzm6mduM/SPLNk+7YC5VejWY/rBrPbclG9KV5VXm6/y4Tq7tjI5hzKYDf8tXnVHkxpCdc4Yc51wv
uHkubbuKII4tfXRvMbM7wsaYHigX9kCljlHyTSwapWNaPJT7XmtrCLcquvLrprlfuMeZvRT6W5O2
9L8raWNAbIfdHLXLC2GVmR77VkM+Mgq1y/BMbGajH9izRwNwLpv1aEiN5cLsF/eYUFkXUKJ1Q0Mw
tC+k5+uoLjqLRTaP7qYlOlIyZV5KTtZ1UC2Wy3dtqG/YwKb79Xo+yHo2zn62kBS1NHeP703jFDOO
Ymuak31b+EvyNerh3qWzNmkb2c4wMG29VydFxvDWzOW0x53mH0dj6B5lVJc3I6iDA98nWljxdErM
n65f8hHFsL8WpfSwz6pkCiBitLeT0EtCx5nwA1BzxjaxObVmbWFdD3kZXS6uPx87HozwUM3pqvK9
N71O/TejE2a9YYbePqdDkbzowDeOXc0RFWy35pFmYanh9kt4SMOisIO1V3eXjlmOe5YtCD6DKcx7
w/ls1ql3bSrMYX2yLpr0eZgpfUaTvWwlMmR9Xyn/GdwfyLUxYfZ60Xbt2gTEhj4hDjn5n1MMOPeM
Hrr2xpG4Pw7CBVa4WRwnt+EKYvo9m06f8hzzDYzLMBmTFARF5XPla3NR97KNwxlDuNqJxHF3je+4
QQIfLgqyeLpdUO1xmX4vpBx6uintRtjpK7gKKisxben2ViImxsBeOC8vzqVBfd/Y7ymwS/XhxC1r
SjgXY0Ve57WNls9se+enPNeqt2yczUe/H9wHo42bE+zEh7Zy1bYUbXl0266he3HEKljPd04BIiYa
3q00ec1657M7TMMXGmvYQVjSBnxpD59RQrIDZ73ipjWK7WSV2pkPB8evbPJjBVf5XSw2bpm+aXNC
p63wQKINKQ3s5GNuhT2B+Bjo4W03jfTj+MFzBrktF3O5TQiVoT1SmF1qm/+enqo+7dU/np5cz//t
6YlZ32v1U5iBsfz6Z/51eAKD8QfmdYdxvYu8zLzv3+M+Tkl/6IzzySvohs4wh6PSX+M+jly6zi8h
qhNqICP071OUZUEVs+hr4nRFZQqjwv/kFMXk/MMpikkY0wr+zRSfUqKPYYZmoW4xYjN37TZ89YJC
KzF4Qs5f6yOdXKGO5aLaAapMaG1ORXMZm4UWFGmcfO0ib8FxGpewhECMohUkS1uuxWCu87ZI098y
NPKsjVU26lwzziue0sVqz3W36F8zEc9AhXBTU4oGDkytm6BR7FPNqT+5fe+ax671x/E0Y4meLmXj
VNsETDfbJrNQoBGd/LIheBRgqkMQU9pZH1SDIb3x4sDIqsUMWyVfRnbyrNJJcbTGmYC5AjT2DfvA
YNPbFls73yMCtIVlgUJqOUl6iZl2OhKbdQ+aHEB21SWOJELn8+3YanszG5CHTf9pqmaxT7SiB2CK
0YSfSi3Z02yzHIhBNOEA3zPxDeAC2ULe0QinnA56HExFRmzcFRItxFjLr4lNyo4YXJQvBsAei6us
LwNHr7Uw28qW7qZrpoyqTsO137gi6iLvvhdsL2vZdi+/F2+7Mp5zNFpjA/XUmZu99Jqk2JqzOV3W
mVWkVnFwCfAaaIwOyfXRCCYrSXpxyMhM19CIu7wZB/cCnAXswSVAJzXw105JPmQ84v1Ygj88GmVu
+CMpYowHDvBpjpTed5q76zYIiuQER2Eadx3drTdF62vzV3b1TfbuZ0b3riKdDPWVSSFvadxT6Gvs
WPBX7D7Ad/e5wWm6puj98TyRMTw51YATwpV5lASqGLJjavmV2Moiv2VjLbc6dbCbKMmn6w6BjM1P
SntkMed1qDC9gP01jJOX5fU2xpi8W9I0x8GeXGPZn+96Z7DSMNIKM0zX8QMTjT4+eR7b8sASXO3A
pMIXcKMOdq6gqPRYzrrcsb52r7XZFG9m3xqCyGDn2DztV1yFF1FXTEhGik3V+capE4DDLIGjLGMP
bRysanhJMougyVJbNvawDPpIbTXxSywtnTpSq9yVs63tR2FVocvLXQILaRBnjfm2IiqyT6acXaVl
RO6mbD24WjlTowsSr+20mQCesMt1quM46RzD+ihjQ9QX1hny6nJiF6bjGtOJcQ88mUhYwGwpjd1Q
xFdOgigRDpZzxtEFjHjOoxf2BP4OuhrWzExY27yFEzYYbvOJxoMru3Lt2/XOvgaboocoAkzGW+Ny
weq94aHdB55obAL6DWdoSzT6e20o/bq28/gZKxx0y9YCiIpd/dAVTrNRqRPvs2zM93RNRZuobbqv
5pR3+8aR/n1saVBamH+evdx9XEz9uhJZG+Dndc4Yvm2yiy2n7qybmK7VK/OMSckZl7z5ubQV5IgB
dDKW7UIXd45pDbjxO/GuuR59RT1XY5cvWX8csFXi9vIDmQIKCTVat/1NPjrWfSMoIw1Md6zfLE/F
D3ZmxTo4Hml/6cs63Vd+1/F3NNoRygf8ViDgm3YYi+OkO/Upn9sy8LIMq/KYzTtRxd5hth3GXQ1I
rc3gwKaHcmZwow99emH4yfCA/J4HBdfnAUcphtesvvNMdfYnVCI7j/yDRrkxdgnRuicPl67Paanw
vs5Oldz4hZcexqiuvqJt+WGhs/XZNKVOG6WqLR3+hHGMnOwO/dU7Ks4uYc7dfW9oZKY2xqTMgz+I
CGl3+eTp6BTEyPBR4zdNrzK6fjYgG8QLtbgTzpBBC+fJsLIQvd7+bHuTHwqjWe5qhLOA4+T0lCcd
iVaR1avtE6VjdOc3bSYtNpqif4/zSSOK3C7bukg6mi9M8WxSK3K9GMhR4+wtN6qy651RxP2NKWVz
EWmTfk96fMkDQul5u6vrLt52NIa/es0gQ2se6rvMgskWKGLR8KUHOkOJWL/PC3P/aqzcz3C/Fy1c
uLW2C0tOkPRqdDaE9Cb6fln5vQnZwyXid2m26Ph8IwW5ccP8FLcwSrzJTk61Lxs2bwkd663OQVD5
iSL5gLfaHmPgmJSWJ2Gnq4JTDsaDIJpxZBsGie1FKjUEltl+K8uUYMhcM8q0zfoSuCADNdHKM4js
6bYAbwmKwr9sR9NO4aWlSXQUDs24eMiZHKGXvBTdaD5kXdFcuo2n7vXJ6KBtgAa8s/wZqdCD/1HP
UQrfIbKmYExS/VqOTf5UQoJ4ij16yquhiB6bPEovhhlibwL/6JMhLbWldTfbKzmqbYRZAnRJRWTO
4t2CeSAL0B+rYoHIFrvDJ9wC4HRSq6tCDcxEQA9azdE40W9amEpi66JvnKpJQwGl+VRd2GiHeZDi
FIV1bgmuYz89W7Nr48JNnL2aS1gAGTvwk5EazpvJ368FdVSlN5TQTYGT6f6TWuzuoFsLD3qvQtjb
dHGX7kClOGcXbtlD5I5MQDRbOvkGvGFKkozEAPkagh+NBTf4v5vj/6fNscvu83eb47uk/vrtfx27
4rX6+tN44c8/+H8NcRjFTQMQo++YNIvi3vnLEGf8gcaFyfavNtF/749NNtUGTjjHw0WmO+YPdjjj
DwPP87rTXhFz/8GEgePtz3vj1chMi6UFvM3i56JbjV//wcfTSvhlpY+WqFEWvMlUUlO0TjvxNvb8
cpua9vNUjuMl+kcKa7N5Lgi8HfUJ9A1M9zwol4Q5a2eVt/5YVjfFoD8yF445phctnSQWvuFlpaZJ
g85DC5zDLkPJBhrkXjWAD7EnGDS3TPLVF+WlM9EGrE17uDVR2EsbgXyC5Y3E5G1APr4P+pBelbSy
Yi5oqPypar64mgeq3TYZF+jLRe3rNw6iAPnO6bWeYZQBuN0qC3YYAbH3DupXWBKy2bq1d+WKeU8B
TROgir77OagWY7yLZpuTbDrsLOpleLDeWJm60GN+F1mxzZykr6rp67AGP2LTbkz/xVvtOs+t6ggc
MgaVZSKe4LAeUuk5G7Ref1t3KESVBlGrF8/5WLy6NP7s9Hi608kkrFegL/GtMUN5zxr8dR17rJ0o
wCiJcsI2Ebu0Dk/jQyymO6+anYDmqPgoC/8NtcPfG4l1iGP2zINZH5cV+69NHRdG1wPLTk9mMpig
TuYHJ1F3U2M9JyI/xXPxKtsMVKZ95SZC4ua2uq3FG6La4L3u1Y1V8Fkp0e94JjD1sFacLZP6uU+o
3DaJ9Zk1F8pMYLEwjIW3ZOoJCQ6/DwZtbWNsUrWNtfVaJuXrYFCpSS91vumnWuG6IVJj8RuAuNzg
ZLjpzWmPL+nC8PCpaaN+0bgo0mOevIuC32Yb6WWezxcmH87Bq30SmCnvEH3/cYl6uq97p2CXK7Qw
73ihkSBBmDARP0vIT7VaHqXVRpvEnh9K3Q5nVU1BhSIURnX6Wo1UytOZ8ebVy8VISU6QJTK9ylv3
OZ31L14rrv2JtimHyIRiPkUzhDy08/iwgG4ivNpzo4oDU7hko+mYJfOeAd0AptCpVbKdJj5PeizF
yXe5E+alx6BEeeGm6fTHKjbefIE7hzgRYgj7aMMdH1o5PFhz8V7qAKLYYHGgKucHEcE4yVOATgWW
m+3iaElAcRes4PW6G5VzRUPnM5aJbMfJGvyx5e769c+tylcyI6ZPwnkGhKcODs0DG82AkWxqwO0j
zQ9cgqQh1ejjLY22dVjMYPRVawEQQQY+tK4aATTZ47ErHW/1FiENJqrYtktTom02CthQMZ7KpO0C
UyvEW290L2qUztnw8gZFnB4pAvPE5JssxBYmQriL02vk1mxE4sYs1gaZtnok2vFYzpozAPjq/JRA
Ci0OSXSFlPyCuD8G+Vxs58RRaP8pAwSFSR2/Eu1ZjgMRLp0lJ5waJ6fjtleFltxUQCa3PJgfa43w
Y0cAdDsO9utcKflW0YrBtzJLtmAIN54L5bpZfGdXUgse0lMf3Rg9B9i44vZfMvOtNupm07UlM61R
D5zZNHZEefncUOg3A/rvhgirTmDM8q4t3R32M5lWBonus6s5CMztdIxG+U5k9cJy8n8Ccf6yiqO9
rOV4fPVdrCYfaCswSKwhI/V8sEYt34ih7VdD/lVqt5dLZDh/SmVv8/+Ov0GaKqCTVD9iP39xZa7l
qzzQMGRAQPWcj65Mi6Spo1ywwnzVsd3l8MpEwhGGBf2Hh+nfvNIvJmpAjYg2Li9GGzfq0s9Pp8l1
Z5HBEz6Y+LL8iNVwXY4ztvGB6HCuHfknfff710TI+tk7vb4mJnROXDjO+e+fXzMWFbG5DiiY6u1k
a3fjQz3zxdaEdZg0sELr+y0Kzngdq9vvX1qglP362j7aDDRXBKGP6SJO9RPJJ686dKWk7AUc/I3C
5rIuFxdZneUH3Z/fpm4edxiMxlMGRSqUaAYY4sDZceiKcaIOpEIIndkH3y9xa6Odmt50MTks37Sl
NQGSPMWJ2SUJyl1JcRChsEfdTpgrzbAvPKQvprj+HlNB8zlGnwuonlHh79/p39xCTJR0k2p1/Pzm
R2O0WaR+WZtWdUhMykJq/YZg4g0g+/YfruiqPf5yRS3EP9A8Hj7ij75ofzK8mV/kXvUL6wgc40YZ
qbXVCxbhyvGzsPPIBcZGeUu+kB5EvaT0g2eotcTv7ci6vG5VYE7nG8Sii1jj+E4a6IEmjCvmsnsG
/ChzTUr0JWZv387m/BzbptqXxNC2c6o4eDAnvqvy+XGWPPaBX1mnPvXK7eTQFm5V6XuUgrir8uK7
s6HeU0fzHtXfM+y7pe94eDfikCj7kCRVisdiiZikzBc5mLjAHJYbQK30m2BbRujTXqSNeO7CHvmH
C7ne9T87h4EMo/q6+FrcXxuXKYzElKGJ6kB28Pt2YmZlsxum6tok/sGnzA77l9eydZ5THjxjnxQU
v/7DnlSaipA5+LWDnY+4MtJTCU3/9/ff92/Sh/eDSYez1fqfNLl/eI00Ie9f6Hp1qP2xoaVgBl0f
LbCizLd0EWrfA0vOTcrLNPNqivxkCzD8pM3RE5zILx4zl41ZAoj1ikwc6KXjIeuzOjWqZOwSvy/Q
KLYuXTkHSG7LJrNBHAz60p2L1NmOXvPJ6/m/nc7DoaxSFVAiSe2LIfoAaHuzMyXeTMZi5n6Ywc/o
ZvpOr0vOpDy/HOf8lNuxCgD7s0E1aG2xjSaoqgTAv97f1ZUJME4sf8LC/8c13/qbbyyfhU/En3XY
sj5G0iqz6edaldXBKDgojCCvgrQf2MFrOe854QqkbLfCQnlXpe0A0eskgpxRXkMjefSiHNwqeudu
ijDj9Y5Rh9BRn4nCitDTXeJio3MVDa4TDJF9lfhmFtLyqAX0UNWhm6lHhNW3pdM3EKfvZ8HuEM8K
uE9txmSjPyo2YpsmSpq9KJhDNtNdbDsDLknuT6th4euccdoQ38/CMir8vWkvj34jx8vf31V/8yXh
mbH+aw1HmKsx7Mcbd4pbl+T+WB0mrwrZ4swbd+LHseD6R038D5+I8UtM0vN4PumCZQ2lmtjHh6dj
awkl0Psq0hEggwzAJqEXZaeIJ5Vv8PksNbfkAmsYrwPLVJaxA4yLSzgEWI0obMeM/n/YO4/luJG0
i77K/wLogDfbAsrSqlgiRW0QlGl4lwASCTz9f0C1pltUTyt6P6sxQaqKVUDiM/eeG7RhBjNlGxCJ
sMlK/FAk+n5CPHmtSf+uDFiY4wjPN6purMhq+89VvpxVOV9V3vow5jJLrOIFEitVKnKEfAEiOaJe
Vo0ZUq5usVL7u4Gv9LW9RHdhRZnDDwasIl1t4Dda8jDbeBw2JarcowKT8toExbWCIE26yqkep0s2
0Ej6qDzZiNPqOct0EQQCk4rGaNCSF4BE952WnZhNdhvDG6OsLuZo/S9axf8Ty/WCbEeJUgr2zHob
9cq5bbzp4iZrA+EUGvdTy3S9o1oisuFGdSjxvZafFprzocsdbrEh7q7B+X4WkHSncc2vLLMb3I4V
ibKU4sQ+fmCTcAYl5ZJ1gYWhrk6azE9Lhe5XEEa1GYbyRFO8r2KeLJBUuDC5O9xpuCkN52PaT/Wp
MJxbyagb5ehMhtK0h6PKjh7Z/BX2uFvCFz6YhBv84nns/s3tTa2D+kZfOXM/2dUIWANKajvVAfD3
57qX517nuSdps2KH23qtv15b7WaN6xiwT2GH4Z6vU9xTU4++NufXuspim16jdCqCyJfC8oBnJgSj
mn69JVZ0PpRGD1CAML9uk9jZFpdF8pmczOCGTW9KbivPRXJpg+uaszxcPHYpGmdMPsyP0qLc0oXV
hq6ejaFKBtA/PpV1QmPI8zC1Gr4QNgVHL2fCLDlBhbmKeGhJCSi5keN4tp2VnVXiHM1EgX9lwraT
TheAClCnCSRGLDZ/dnsAr6Idzh7dwaHI3FvJQ4Qmc7xYBD6u1fzgfX++/k+8+6v1s4kR6S+n7E9u
09uvn8RLX/y4f/72S39M1xDpWriykanjU8ccuv57f0zXXlfTDn2D61t/ZFp9Xz9brJ8t0/KB7QWe
Tx365/pZ/zcjNfyqP5YvwPIctrmM1NgLMQu235QWpTVqiHxSeQ3pI5ApqlUBsI+2zOYmqa+Je7Rn
OOHZKg9ixYBSqFhFQ84qH+pXIVFZ+evEiLd/I1ahkblKjtSr+mhYhUjmqybJtIS2Iw17/GCvkiXh
r+oluQqZAhxEt+YqbipedU4kd5tb/Eh96MyOdTusgigCkbudLv0KxZVe3w+rcCp41VCtgKNHMU/T
yX7VWEEYqD/o3UTkp55q5F4zgTmXqV+dub8e3VWq1fsGoq1VvuV2znJGFSbOa4bfDugvOql4UFuq
xOFUtOxdQcgVoXQNtbVT20McCib/Mma5evG8qjtkfRPDnli41Tr2ZPeu56ZPXQUrA2hW3kZWIs1d
kHrsV50uPTvKzbdStyXTcL1W1yKZ2KN1/XvoqNDeeHB6rOjY2YawBZdLTckS6ob6VCgl4NHJgjG7
JrPrLqtRRtet038kapYlW8d3+L6EIHLrTzLdaUO6nERl45pP2apHpfS9NZAZbykjlOzeDPr8oJXJ
3VTkORwuVURL6uRhjw3voE8NC7u0Hq9rzchuU4M5CgaBaX5g9zDuCmSY4YBQ7s6HNXeYAYneeJ0+
XbNymA+Mh62X3LaaUx4Yw4PrmyXeI9jB27UmY7CZmv6xYuh/syAx2nUGNvo6Lut32qBbD8NsD88w
FsrfZ6CxFxP2U+QiMYAe4mi3VuaRBojWjc8KMSQRIgFLDb/6YImMh6Xf1lHNNoTch2LZs3bVtpol
FBrWvr8zhpZcZDUoBlwy65jJzQnwNCITPlsWXWfYCQx5G22xSDFVZVpsbfZ373i2YEJyg474trha
IDI1cufDJNkwJ3+hUPGvanDre6qe9tYWzG1G/EAsuxfQan2idsrQArWVrJev24UMxDJp/QNLqvJr
Xif5vd4CEM6KZLkrYGG31N6xxnDPwmsWA7UKNt3kloqBD1D9OnM9zq80PWUoN7DcxXmUk0n9IcPx
9iQUtjw3KPRtavfjDZNilMdN28l3QkuW565EDgBCmGdP62TJJQBcfueTz4EwAcaW9NAq6/2ADhX1
ReFYA/hruRQsIQ1oMtibyD9KSXqN3H7wgEoyKmSI7buswfI8PjKBIZ5tZv218TsD1jE7NnQkIKaq
R46Rls0hkQt10unMtCoHHE6r3+B+gYBM+gKKLWS1W8YCcGKSKrkTqW1GbudaH0sUzJRumlBPfZx6
0KT9cX5ApGYlIXhGjTAoIz2wwa1OI7yGelNpZFqFUuscuSMNTif81DKMUIPZUt1qhZ88ekYN3N1z
cRyGdtfFnCQZRPKlar6UeG7XLXClbqzFq9ijFU6GI2mW2mMie4aiOf7vGFFOoiIrM3JEj3ndmTuF
hq3atH6r3pmlbjwJRjJjyLRQtN2udBsMETcGHaQCA0MJNpJrye4vqYIwmWYXM4DSx15/iMGSze77
xKt4og+rz+DQEJiW1aelNXttCQc/r1Qb2TAOpweRq8T/bCcoMuow9Up9ct5XtHedt/VbRyt22jgO
+ZcZIZFR7H2+IsGDC2fK/+qAX9UBZM3ifvnvJp41w/LwUrVgrMXXH1Zt337z+6rt1Zzz58rs+5rN
JMLSo87UWXcxxlg3cN8rAcoH9GE4bb21jHilVfzJnQBfwY+vNEW0Y7r1byqD9bn/w8iBSsNiEkUL
zbugJPmxO7Q1VyVojJcDGdrE2CyM61jkPP7lQ7n/9s/942x2fREmwUAu+Dvd4E0LOjRSa4PAJ1iw
ICJYef1CRq/0QhJHhu0/v9RPg1JeyuZj8VYSku68RQA0FSdSnuBvVzKj+y8zpDomwb0MyrG6QIM9
VIbQ6F8cexP4JAv988v/9HH6LD9ZWno0xnxpbxFFZglNfHJNkgfq6WJW3pMPcO2fX+Lnfp6XIL/U
YzPKc/XtoFsIbR712OgOjjFdlGM9IntqwhF5JAK2jqv0P5fz33xzgCHeXiCgnkzMibbLpA3V5Kpj
/Mvcy0o621WIbQ72ZHUnTNjMdYikqZj3cBiX0n4PYbPDpJEAS0R10uTVBpwaAIGqEJWIqJxQUoCn
DTZYI4ojEcYwF2H7BR0P4BLsIudtzuSqMwj7rbAiCIrKo5lX1iczn/acxwMBH2vGphh083HuGQ+Q
w0QcHiph6zbtRgQwuJajETbU45zH4hpl05RsLKos5BNdUF1cUg+estlrMKYIkmmSxrlzhro4uw6q
S2kLYvgSiPSjhIrCcR3juBk7pOQw6ACzLEceKDdjrsmdVVW/2155bjL7M4q+dxhCKzR9fnVqdfUx
IdWGlwAEhwqi2lRWvkRFu3T7oiPqUtRG5PT59BWZV0dHmN61oBlYEiKrs00c5VRk7q0CkkIYihuf
zMR69DQjPuXYeUN0HS3acfkVQUpwUThbo9nIcxK5uuQyuHYZjj5lZCATArLX/dYUywMRUPE2J1L5
BvlfOKZQ8WJ/nq6cBLMvRmNtIDd2mpPgyCNnVASNesGl85jVp7QnoelnkI31PNev6tZAOVgrIdz3
du1pT2khxV3dGPw7vlLmpTEKJIow1g7saKighRgqvlW8enHViZumRAtuQjTdVROKex53+ALAeYf5
VBv4jUZzJ7NSf7QbZhzQ8lSopZk5Po94nqm39Jnpz+IlF4aky7bOGgOrbUW4dOeuiVrZmvKsYWuN
41S8axdUNpXor+Ngtp7J1Rgu9mgVh05LjRtDWe6hqrkW0KNnO2gGak+K73OKtgx9azYmO+ix6sCM
N3in44Pba2RQ3iyJ1tzjJ49MbFU3QIVbeKptqe/ElHfPjetQZxLiRHWvnGwvAnu8IgOk2MQLcMwM
o1scw/3GEuUB1zUS4nuKFP+D8wQt8WRXcQdrY3rXzsV7RJv0DTLX9nZVyysCFsDQpdjx5YjiXosn
Y2+u/nlDb8vDXA320Wl73PWvRns9cZq76tV+PyaonDdanOjvrLibX/rVqV9y01zLJNeAlOHjtxQT
DrekbIryCuY1gSxe1L2a/5NiBQEE5FyFzUoHiFdOgFqJAcRj1qzyoAgkcTxdKXR2yPBhDLgrbYBS
OubeRwtv2jpNUzzSGax8Agscz2kxU+N69RPgk3eDR4DuOX0DAA7XS18wUj4FK/UgWfkH2UpCMKX1
0eN71fwyeSgaHa+LxydtZctpsBuya1amArQvFucrZ6HzSbGHjXqj9V37Dj1TGdXd8gV8Qe/jbytm
yJCJPMZ4X7aGpr9TAB0YISeHXCPgqWFIu18K/tkkdrv3wtA8vCH9pEXtSohAy2C99Cs1oln5Eb3a
YXa3Lo7TrmDZgjy32pP9/ai1Fg4I3T9mK41CN1JajbXeTtMRFIID/uM2fkVYWCvNojH88poDaTka
KiAZw3SexUq/MFcOxoSMK4TUgrtST8GR1fuUBwDOWBSymySBr11WRn3bV/6xlOb7oiLdy4wNXHsE
odjCR3KHxDmKVzZHAqQjXmkdC9gObzShqet2+ykfLWgktOvBxllJHxwJ7l220j8CF+qMuxJBMEMU
UTMt0wf0KxZqU8Er64TnsCVwuYE2a+odcmOtfDKmTkcJBnvEWnKXSBPE7Qa0Fig1Tmlhb4RXQmI1
dA/lqi/VSjMpVq5JD+CkIAfn0Ukd1pwBOUk0axB0DVtBZMCPvC1XTsq4ElNKKwOeQu8saRl97UAK
JfqbzvvsGVYCFCLgeycIOz/6ue9dyF429sS5VviNbRZRcs4OoC4A26wkF3L9oPer0Tk4K+fFzYzi
kGpJ8tF3ttXKginnlI9/5cOAMiIaGroWnfdcXiw/MUIkUcSAaUNhPthgZtwJ3sxAUuNHJd30FnTV
8tSDpSFlGEBN3sKqGY2VWrPya6Ah5wckNnBEXS4yHp6/Q+800eJCviEDrz/yfJyOMoeLE3QkPblX
g1Ghw4/Msh+/1RX/K/J/WeSz7v1LVfQ3w77p/56h8P5Y37/+0vf6Hr0cdn+fAuk/irnvNX7wm4cp
3wZ5+s1SQsH6Z40PW84nycLlsmTmR1n8vcbXf7ODgOmgwdD724zwXwjqnLcl3GtKi4Nogdx7331b
MRrS7aSuJwR/+4RvhkWdOHcWvsjbpWSD8ZeP5m8Kxp+qU16LFpN9LJMRMljf9BOy17Gc+0Z99KwJ
y7KcjVsOmOBx5hO4JkYy+EXB/ZMYw0GHiIUHezBUtm9wqb+Up6SQm+hwdV6vMlZEuN5yMuXkH98O
yraOrEdIKrOUb1wmNzMv//zH/lQbO6sqYsXp8e1RJ7/5YztNhwrUc+4vbF++VGUFs780pH89G4s6
I2kKHmNT/9Wf/DcfscOnxcIGmuHP4bpDj9th8j0CNitD3RccqF9Y6pDHEGRC3Sf6/K9fkEZU13k5
ptjUbm+bmlzXFGMJEXAsxgQKrHmf88rrrHxL+2ixx3r+54/V+Olz9ZzX3ob2dwW5vd2Dz72hL0ms
5GFsWHkxqIl7k5R0VN8bf7JBdM6YTG/9sraPHkb1cyed+rFuW28KU7dYahTSvXceZhM1lZDOCDB4
zajn+ao+zKb/i6vA8f7m/TKz5d6nU2LF+na4XpOSleRwnQ6Oh7fpolWmE1/1Sck0GxA7a5wuMaYT
WegzBON+cIwL9+B81gK4tUjlXJcYGN86kublvCRWj/IRWCLXEu7i5qpafONWZWmVnqRuklRCCCzs
VFPnc+gKh0yR0ezZhmoiMzdYCRZ/x0zQuNWEp4ntSLLbVavN6mwMTK/jjEfjZhGycT750mpn8AGL
klsfjm1+JSwHPiGnhBtlviyCQ65L7SmHvx2fO0HW+VHEeUewBSAmjc7NXFLD+MpVqsjEQ/iXK5L6
Amm/Q8w2XdcI8EgGdXLUjyh9TaS6HAQCHTrjPdnDFZoGdR8UnfBD7MXt85ibxCoL3Tq6EkMmRZNs
n/3Kkvc6LBUWmh2koBUKtc7nhPPiC12dG1Ey/n7NM7GYXJ41wm4vzoB2NVsy58VBykFdNgfqGdki
mS8Y+7A+EUSmzqMt+EsZQtB3smWmnq+z+NHMCwCYI5aDFxIGuMwWEEixsI3LGPClLX4XPE7d4ry4
zE7OWcK0sLMmx9qRnkwMCXByMMA9zLDzt2s1ZRzBlJiKhXFtofovxEXQzCJmaJ/NWbb9vp8kgUGa
gH6OJDPOqmMB3RLclEsNOG4HQvSeUiShjz6EHyPCPuOpbTXbXCcYZ+2XBpj4c5q03Pz4uK6DWQSP
LSUXxfdr2IUqWCK/5qAI9gdMJttG3Y+49uBvupDyQu7u9lmpvEIx1BQE7shR8CUFqWEdR/yHLb6Z
9W+d7IDBbwL29vXzt9WAeXn04eBDNo+oV9nmdHWg377+zBBDj6hmPefcWNKDxt/6LvUGGU1JEOzG
V9YuHjgy6odiag99n8fxlUH70Iayn+BcdcoPzpaO88TC6GUhWBhK7DG3Az1f62x8CEnqAX+ivnKX
8FzIXYnXahNjw0dHVWaGfpyMwZOKll6r01PfD5m2n3VUiVGXaHN8btuarKi0oYRnazwO8bW5BPMz
E6zpi5yJPMFf3y/Z/UQi3vTUvwKWYEzKfW+SI7hZyDjcaL7EKUGsB84H6fA595d2BTahswJYAxxw
F5Bg2qXYNJmgAHfyc+vWgckWSjkd6FAVrViDFJrcW3JamJa4pjbf2k7hhj2z8w/9ypCi+XI3BLsa
d3hNhvOErBXmFaGHHwe7wI2ZWv1khUmQqSvpafJg+2SgIu/B5rjRm+XWF2Pypes5Nt0q807Q/d3b
Vq+DVSZqz9dM6Cu+cKX1DcLSBH9VuwxfAprtKeq1MckiLu6AqGo4UlFgyx4LqefFj2RWDHVkaPb7
IU3IBRLdS214Oa4ldqKHDge95ActLjqhSy6puYAYlhr8jw3nsjrzmONaNmOEQgcAzzylV2EBYYHt
s2MMwWM1p/RlRI8juXekVOdlDW5ZM81vW9ton+ce+S0RLNOLapj5547LgQlmjaRqPX/KwYssYcB+
8RjrkMAyD3KY3wZ6SihtXEc8RhtmQ9WWUIs66vkzwD5ale+QIblgeFn61vhYCU1bjsDcR/9oVYJQ
zNBo6f0sYax6EdOyPi2JdOAJ1mgwgza+nrQ2uQfVlx4TP7h4ado9loN4mUH6c/pnxiO91hjlZDrf
0o5xzjtwOU/wF8yP4Azpo8FukBAdTN4DHXzhRZmcjg4bXAQYU2eE3JfelR03wt8FtVmTumGqcbfY
5mOV+m3UqJ7NjEREEMFn6GBnlLYjGUbF9S2DG/tTSb7EuGt5Yon3DrKm+FPgT5nYsNqMm93iN2wv
YPCMJFb2hXbN0nLko6viFiqfk3yYPQIyMrsmdTS19CjnT2LP2uKem824f0aYSi3SDtBIrYnQ1cKQ
fK1dEIgtWh6bw8IuE8FquJ+xwuX+raYIEILuDDlxZap90csclDkC/hUasHDRdCNXSp/ofpSoFffI
pQyUJ0kb49YiCDfbdK7Jmf4aRCSxiezdAbVGP/HVhGUZvMZpkWaJvQxBW0bIdLJJCZqRG7VC090S
pWSUmAXnvZAQvVPJOSidpO/37Pb9a6Y8KFb9hlfOeZiAYCIp856MGu4lZ6Il9eaVP4+XY/9KwV/m
nAP/9Qj06PjFljD39dKf9DJlp137uEQIsriexlGnH3YIpRKD1n+pLbTooOhYrPNk7ZwXdFvqvs/I
EogqggVENHdY9lCvOB4VwwwYfv/tbRk1ujTSDHIqiVjTeHx5QDWuulKIA5M1dT9Iat8Kq+DWWEC+
nkxAUMRijHNls7ByEyLOdBE0z5PZAQo0Hcm7zqqWv3WSBIhFNeIe72yTNkXYbesyeWGYniZdUTKh
0KXnhYmyXXjMPR7RrHPmh1hrnGcX5ilGUwEDaWqFyjYFhuKeR4aRXCaP4FHOzdK9thfL7zkXPeOh
bDTImGOq/T6ILtin4xSoDe+ZKifTvODRVIBBEDgKnuRdMBgXS3RrWJdQDK+EZ5OBlqhs/UQ7gsfR
ULHLJuDHJ++ceeBQP8TrNwrf0H5Zxoorruz5GjWjo2sAE6iDx8NKrmXMGrAMPRrajMKDz4nS8sG1
Mm18gO6FezbMpjRJ/TMDkwBrwKohIIXVT7o5I8Qk0xLjfe5TLSd7NQ3E6xqUG+QmsBHV7RgwfVll
0TCVGFLd2SSRIqAG8cyU5BtbpLcQpmWYaSlmFHalkQJLcCrzpWWImnbnxudkKWSqfSA5LzuRHxdv
ZJ/y6Jn96sDQzwB55Wm7coQRyMzEjWqdlGXdC67suY9DBFHvEp8j3cJntTP0BK8CmsiNYLt5bCQC
hWQojXNtc8QwpwWPlmN02hgFFcngVsXvWmbjM5ZNDJqrgZAydCjuuQOnkFPh9xqymVbOd4GypyPX
NYXB2Ol3wdDqdw5U7EiyOXf7uTowc+m21Mbxg3JHaDI8RKO8I3RF2TZ2hcG+UeZYv+Pb5rkMNvTE
k69iKFrgFNWQpfqVu0VBfTMWwCctPqo7fW6T9y1mDUZopnXbyIrVLexpCkjV7ckXY84o763KOFP5
1VtoRfrvLJUdNHpE7q7mjiCHs1J7ExFSBy1fvgJj4AuxR27hHdutKY2qUSdijYpAsofgCdxDJZfr
CZKuoFOeV5yGQ95cjZ1JPLQ1d+1NX5RcpFXKaZO5gitykTHffYwAob+fiylHJUvZ/YtW3H7b9qNU
puFwGCwYjCDetv1EFecBT7z20LLLpuiHw0Cg8Vr4/nO79lP3g1sPGTCzDNp+m8btxw1REKfDmDdD
eyihuID7wkZw6XpSUDaEXpC9h9kqPb0eh//8uj+1/rwuKipYHHSmNp3ij69LS17icVbtQeWl+zJo
lThUvSJnYvJSzq+mquez66acxdh5qXL/+dV/WjTy6viYbAgjLm/irbsFaBTTE8NtDpMT04CQlWZe
UMo0V7BmOe3/iABpBeF6LAuucOBwuL++hf9N7H45sXNX+f1/9pg/T+x42Kb/F70UzfCjRM96/cXv
Ej3iaSFrrt8d8HGbmJEfJXrrV4sZZJ1k/XUz/4qIYRBic0/pjH+4LL9P7ZzfsM3hV+XXvkE4/9Vm
3vvxElu3yGtONQMsuKBMFt/ushk7tb2rPPN6oZhOln3WJ/PAatLUN9Xc32j02tu2okrYSN/J8Ysh
fX7WcK6xuMuMQy9b7TrmvW/nTqt2CdUDa5qlv2kSLC7CGk9+B9/ZLgP3qhlr7aGroag0dcJuKPNX
pEnlPuALUDzKQAeizmYlZbRds6nWx7wLboRUNSweJmymehPImITHDtkM7xtXu5OgU01vXGrmkxmA
N0y7+N20dHcKSTiqB33l0xiHrm+tDX7jIvRK92TYLCvIroooLr6MbLijMW974kpFHgqrnm9ikYDY
HPC0Sf1zqhHo25W9to3zHCukvix7NEwAbRNzr9VO/RTMMt/20OGjpbS3pRJ3opjtLaf58IJS0NqV
XuWHLeTAg1VRPRkVTAg+KTsaapIqQIBnZ8jpDUpcYzm0hRmEmEVXjkQrD1hi78Qc6Kxmi4UHWWZs
YLYh7tdbCy+/Y0VJBkVjQge0kYDPTkXm3aQGPRdNxnkFHm8HOKVBNR5ae10VliY8G7bBIQATPTJj
fa/BMAmddH50BjmHErLIFqQD/k5wEdgaxiQUjubylB8/VT17cKVYRJMRd9VSsYUWKJlmjaTMynbn
gAKN4KBqm4wJ16Zz3EMQB6eBvWHoFya75SXWHmcraza02g58B2gX1qjUzrSTgIVkNR/NJs0v0BNR
Vxq+jDxvAmWnDAc6pzZHvdLtqKZmJjiYwmd04cpA1tkGRv6xVa191Wn+kYzlKjQdq4vGnugsq0z2
HNEe+w1YryVKryLvLk3vPvpquc7NiQg+6do7rc70LWPBdO+11cvi5B/zbrD3OYlM9OhTvWUbpZ06
M/hqL1oeDTJwIq6JdfezcScuCV8k74BfssVLMCOZCbboIhlC6RtLaPelvsFZeWQIZnyc7cVgFdVf
Ka34tMy2wt7pk+qW5fPBqRHWL0vNXrXkWkCf2UVe0tqHFCcy2tFZhbQvXVQY4oPWD2gUPBVH1Noy
7Ju527Prs7cNxvedm1diF1v5e4He5oZZWbWz/E9J0OsnlZDV6bSudilJloNM6pJe55VZdq4kMZ91
7+rgVtJ5Dz9WXBCY+hFrieK8sJ+I+n656QGy7YDwTHTWqbuDrE7AL4Dgba1WUrap6RBLxbLVUf5t
4V2m4egUZgSXiB2ol7tHA0J0yNJUHkxyFwdHEiKt6RgXzLR9P7Kn2o1+bEWmnXuhSxIVUaKviY+o
3Xsn19/DudU3g2YQeED27Y6sTA+9O6AlGCL1Q6FZ8z3OB/1kDP3kbAKe0lk4aUW6dVuf0ImhwnJD
jO7Wor/f8VbHaw+tBz+oIcLPyn1TuLfYvz9l7NgQvPrlUXaIBkdGMZG38Hm2S+8cvLTEgGvpv5PG
5ANNaZzTqjomI2F40P3sONbSPfnQBldK3NlltLmddPKwU1i5m2Uq3chmxIWGIfgMqOacQVcCQw9P
oMb+lGfGfs60r5W9zLtSYL0cPDLI+fmeSAPKegCDgCJ3XqKJkN6jjea1Vkw9C9y4nb10DTSXxF8e
erbrB28djpTY5+inxiGk0Jq3ZtYAxq1RQuiJK25m09uNlfkSdGunkeUWgL/eeYjNNAnhD2zHWWMl
C2Bc2d1X2ZOP7i1gHR2Rs4MuoTJBSiJtrzTltphbqtYBij0LTf9AF3/XlOZH1+2v88TOj72jHv2p
h0CTuUOIDcMFeZzVlyCQT2UMcp5R+1eAn+BNYpQpU0KShjFeefZAEodvnrIG8YvTNOVNiUmB+dx9
mTJuiS3yFeOu+12IUUf2guXTWcZmb9vof2NkpdtuGsrruZzEnhhTHzUR2J0ScVBvpR+DmWHKbM8H
QkuMq8Vd8z/MudsNfikj5fOK9bJcOur4+x4iSW7wEGJcQNzFxAq6MJJyJzBbb/TKeWhZlDN27LKr
ueuPiUAoCgMN3/cwQhFNebyQYOo+l4X6MMXjePBm70szmnKDDTNFBzDggKmVtktqUoe8SgZ3Q8mU
eoUiQIle3/h003b0WgNT3rACHp0vmL6Rm6guYxyOWudopNrTGLT5poPXZUFt4iwcx6MvF8FZk0GI
iGP3wPmbnVJkRftE45SD/LsC8NENQz0C2rZYzi7xJmsH6QdsqN0a+8TLnyaZOehh/Ms89FDnO7Fp
teR3S2u9U1mX8U7zSuK7W9fYOY3nbw3SpE9+S3vQkGnNALCJd2Bb8Tr5M0rpT0xl6uG9Dd4KrU3i
a11QH9REG9jCpUF6Pz3SB0EbACDj9nlJDgLR4v4dI5xgQoJLrsR6kzHgcXrr0JlNJo3Qa10zfm+N
U22hb5nJk0Ye6/QNpzeewqWdMpTvZuycLbvyXPHcSFUv9UlYsveCMG/W5mdDCgltMqEorViE+Gac
+195/avyGuITrr3/Xl7fpVnzwzL82y/8UVb7+m8YTVaGImGRrziY/5TVvv2bbyCNXJOTyJ8CIPPn
Mtz4LfAc06WA9lz+Y/VM/1FWW/5vq23FoHxlduGtO+V/sQw33m7DPYyQPgrKdefO0u7tcpE48ESm
tUPOrNJBupj5UpzTNQwJ14wMwXL1TwG6vR0V1LIzJhWf/JJxNA9m9d6p2bTYbt4/QV8jjoKO+l/u
s3l3ps6fzxs0LRcb8I9NLVlhIkZmYh9zaTcvTmrjONHTNctDrYPOrJz3wKSpJtqmsL/1k//VTovT
6O3IYAUbGPbaFaHTta03C22QjGXrjlkHSjr+UHWxBexmzIKbIhCNG7mt412jFa1xEs6ud6XsIHtP
BEn2US318sUbezJu22W2TkmZ9NvCHcv9UIqx2DKNc995VFFzqEbPOcZTNVwbrdXuqJVt9pG4YcmB
5ZxmtVDdpebMEshjcBzqfgfkGgijFwEwQarvMxxE+sMyk5Bz13xGE4Uei2H7Zul9ttPMvreiKcdz
Wvf1rpntWqLOsfxilzCDTuFWp3loZfYajiw0Fp/eZcTNCAiI4LsEv0Bb3wpbEWCUktxDZoslD7NG
uHGBaWSTLwMxGos3SbyCQBDCNq1TwOBq/lDn65JCQ4177Uw5RZ+Yhyef3HW0kDpJ4RuEYErCHfPd
g28V846Ec5e0A3gimm0i+AK31J2DUcvfsavIjAjfoP5cNrobNbWni8hPVbCdRlwwO4miAdcCtxIq
Az9RKIY6lxGPnQ4XY2zSbT1403gM/KBMIlYEw1llI2WeYU2wAjLX0HfIJYifIUu8oJzAG21oW3pM
6wqFp05hkmRYWsGSr37lxeZrzTX7QB1oapvSdsVmcpwPWKB9oMhufV/UQsG07kzSuRxcM7YAo7xJ
dAVSiGCanRgm534uTW2/mD57qNQEFqFnmMKkjLhTgyP6meq8sA9l1deM2FNzeDm+M3gvrAzbw0LY
0zYo2+EwZxD2d4M5JAz0c2wUTHeo0kJJ97onScIAV+erU+AbbKdyczz4U8pDqPSc9Ks96fLOaFBo
brKaRHOTgfG6xYZVgD63rlZhZpcRJ7U41sb1hJtH3HsPbLZY2Y1IQ5lm48t0pwdDVJlqN51XNwTQ
IK9MwlzFiId93E9f6jyNM8xUIt+bejN9gVldkbZYpEDWyC5upX7Td4HIXlC8Ekcf1NI27/oed/8y
LkQw6lYuP6xL9eB6BlP3sjDtHMM4GJXgrui04XMdj4T3iGDokDsOPLW3wyhqbdug7r1hSUyWG17Z
wdiOUluyh9lq5vmAqpaxuRbXDLubWlRJJEbWxh/tYMJohDDUoYufnVogCS70w0LGB48CgoREOmVt
1FEbv/QNGZGGmEsudaU3x5kV0RlE6noYpvz9BWFqd/kywuIamy7AIhXwamL92+Y0dh5IfzCmbef0
MbWwtPunIXNz7EmZ5N3T+CyHrlHLIWsm0mVjh5WExMW2CRzZyghzr+Vve31UJJ/ravyk51SSN6Sx
OvotJBZGfa3ZNi+iL2n/Wq1c2L1ylDMF4HMix9zcYv3mHC20QaKpMJfHsre0rAmLyVpAX6o1jI78
Bts25hdnHIXennyZ6fxHwdKaIQYwVyrkTWMsk/xQg6zK+o2GfPaFHBFG4fP/s3ceS5Ib25b9lbY3
R5k74A4x6ElokVpnTWBZClprfH0vJMkmq8hbl3xjckYjMyMCiXAcsffa9UzGeD3bV1Ujecfo3Atj
N3RtFC/uJlKqcMpdT3nIUpqgJhMlgoxHUrMCkxDZgi9WRJl+XesUgGUe4CjauFPfH9H+tZDm+zbM
LjKUHaCCeQfcu3jsjjk6rP5KVXjDVhSEfrfJm9r5aPT5MOGAqxNvnQYz4vPCtUlo6kIiDZjGOMNr
AYHyKrQnZI2QG4qV7wqid80Rb9jQFJ8a2T5a42Afe8+L9Z6F7HDb2amVbgx4Lf3eDRdrmXRx64Pe
YvKjdOzvZCcAJlo9idmGgbc0pJ7HDN+NNqVgpz9D2QaM1FuSZKMBeq5Z4HjCaj5eKKQRZ0yq4UXn
zDghqS2JxazcUiMxr+XZgvt79ExzxqrW+MZDwnNm5iN700Z5FVN59jiOieSkQe3bFSbw/akl13Cf
DxaxGQjh4hrXAHxJHWi1G4loWjWZ1Tz/O5f9O2BCpqtLGNB/Lhyfvzbt/3mK6iDKo+8Gs7/+5G9y
SodkXab61ILkX1rvZcivckrX/GBrVC/Klu/1o0l195ucEpMVSwgKF2B738spLecD1CTG9KSeIhb0
MGP/gwoS3eafyiQUmziq2WRQ6bJn/b5ICyY1pOT1hbDHnO5MOAuPC3yvzdliobohdYhtdNJZ8g5J
wWoi3h5M8hiBhZXDIQlZh259sCI8Fb36ngeVAS4i9Z5IHEn3oWcs6vbOWzTJuE8wKbYJbJtQHyH2
OfWuizt/XmsD3vTKczXnMBZPe9N7xBbpMhsPla9OuZsgequnoEb64gaPwHeZOvZ6ye2w4xdvGJ7I
kAC2obAiPs5tzwxsINAh6g0SEDgob4OhkKe2QCcCZqNZBpUGiT1oyas7PVXRBT8iy00tHFjFhXEb
+WXcbMIxHg61VRWX8zDlq7GxxDN9WX+OLTE9IHZHJFU34eJLBm/mzcsnZ8zTbM3Mjjb4LNOd7SwQ
/nCYsvsg1AwWrbFco5GIAB5X8gz/+LFICk0X2vaXrprYQ6bt2gCRugk4bPk+R6q9T8rYufELidVH
WQKDrI1+i2Kw4xOnrjGzkvQ97La92pplL1f2VKUb3nOysZoWFnWBQ8U0mJL6o/XcJUl5kFF44SCn
2MsuvGZs07fw2IRKNw7Kfs69QaE4CmZFHmK9EDRyu2WqPbcrP2sP3rC0zw0ZfStAzHJr9CYz3niy
WLo2uebvobuL2TUPbSxeSRjSm47PsiXo78nPJ3Hi+fw4MbdGyiLyjxhOppNkpMYWwA3JRMUvwfBy
k8ZBcNeo3Mo3vcPsxY0ziHM5kwyuchY6qzIrbHJMG/smsTAFGKHTv/q1b96yGYi3OrDHi2kuv7Ym
MEqQK7O99asouJnRQJ1GlF91bFtrmqrxgpRZnAfS9jfsDfxbabUvQVPka+q15BhiBw7OzOjT/nb0
EEC+MbNvPoqh6ohP6uWtnZX6vKRb3ydw1zc8PbsLjuzKXrd9xiUbyqy+7EzxcRhVd2WUprE1B/EV
4edH0DUF6wCdV6jiVbdKGe9dT6kjm01WT+4rQOHuYTZQUsWsWOFjky27nrOuyw5CdTre+XaB8zvN
h+FjGJBNuZFoSQmNNioGxclCckcOZW610wIaXWzht30xMyqGrHtRVp7DkIUUr9u+NG8GLV/nxnsV
NSpTYXnb2hEZ1Zwd4QdRTljV+x6j716wkn8mr/Mh8Muvwux8HspOWm7J6BMHnfYwbcKU0oIAEWAh
oW2CBePs4DfQjlhNeNUwp8JVORxHmWf4KNiojusuQOBy2XjNHOxdH8ogY6HyNcNx3d3VGAt4S0Q+
GZ1/08MkRQ+RlJdU1/2mQcGw64S3n5SFjiCZ++rWpCzPDgQ14VTGeB2fE0vEyTZq8F6vKPP0ZcMs
butYRXgMIchvq7IdqJANYyNL233GQDfpVTufc+EY7EWacJ9g2MGiZRo77U+Q7MU07PKFsk/NlLzg
WyR4IK6GMw6zncqxipX+JDvIZipZJXWsb8MiS7alnfTM74GGo0fFBoJtjMAia96QrlTuqR/ZnMss
uBx6PXAF4mUCiPTsqFu3vhxFazwNwSbsUoBnSbBB5YlXIwoKdzsaVraLy7M9jS8gPOmx6sY8jrM/
bzX/1znVoriUqUU7oJUxIo4qKhNxCMNv55jYvctJVVe3lldbD1CQqMIZXW9CDYBmPdED733UHwy9
0yR5nWPaKDU62O6UXIS6/Ud0IzH1bxcCg3W8emdqVBvj3F+lczB9AzvKqBFZzY4tmkoZwxIHN/rN
Z3JriFFyQrzyob0UdMSHHv1sStcFi5CLKO0+LryqHWPU/pDP8DFWqU95RarJMDCMz6L2s5nztNk6
UC4usJ15uz6Q9wHmhYNlZOIciYUqm7vxHhh2tgrJ3mnQ168kD9gtprlpLXPkhWadi6OYyOX0PXxs
9sCWBIm8ONstnS5PbBfkszCp46R3HnMn2o5meufbM/abJnD2Q+lRovkLPzeauoJILvIqcMOr9SDJ
+vIsszpW8KLAlAUkR4nRuqlxuRrFaE5rzVf0MiyD6CoSo7tOUuStcFw9dhyRPKH48am4q/OYZRUr
DhS3uqhHIHXlsI3pty4I1gtWc6fCYz17n9htZsdA118qD1NYlwyfsoxdjpAT3VPH40bW4dGtm+DQ
DakFqsu96snXbnH1INRhY+d2vb4dVJTtaqO5Cqb4rhONcTuE8Q2MU/cEIBbdhUiv8PvPu9FOYEHQ
22kiWPvGZi/XgFBPvABme8/sn+HD9KgS9gdDx3W9q2gObPrhduoupwYbx9bkyVmvzGikcwenMQUA
bdlKCnxV7gwYwvfK+T6LhGe8DA2jiU3kOO4M4wpuHyrMHLLZmMiUTRQdopzQh0T3+r3bnd87X+Qq
6qpnhcVthRNhZWLwKxhf1NnX6b15Fh1rXLMwCZkrGQ88W2U3PmeFGE8oXyTKF1pxosUGuvLMgQ0s
p6Q/YTgdOPrTnGvQhzTyS0svM05MNzHsNwJC4B4urX8vvM5a6WUg4M5ddMpE1mwYXG0dxxvg3S4D
BLMz9s0yVGgmt9oNwCjQYy4zhyzneE0qiwsEH3HchSIIntTklwDb0C8R9gPriXS6hYW8zDUE7NzV
UHQg63i6zcOSDWGd67LLwm0L1oF1sDl1ZOby5BI73fBsW7lT6AJRcToio7BfnPAr5MFmdpu+O4pw
6s5wRQziy5eRjPAFrCh4ad61ZFPbrot2rqId/H0YzC426Q3bT3uTLLMeVmdwY8dYxLduWBPX6MWM
hTx7itYFg9Y9GWzjrsbqdpjfR0lVwhJ8JabaWQI7mDalQOA2/jKByt6HUSCEpxewtGwbG723yOiq
2PIuEyyXjmhVJZHPWpIBF3tqZl0GAgO8MkZ2pSYbkSQVUJWuM+DhR7UMzPDWxsAuEJOtg26ZqJXv
07UmaQXK37Z94fCet5h/0RN48pNyCFKasHpk7KU6usE0waENBZs934BkaFqxjzHXLdRBCB12CLYX
zAtU4yRE9K7Dy1IP5c5bRoXDMjS03+eHueXq2+Z9qtjoPN0riKFbOnPr5L7PHzGFTF8YirEwouZ+
ZEDknH0VMrOMpt65aASl2cYPZOBdAl621ubkvLRLDzgt3aC99IUkYgZrc9TiWJvTXK+hK9qvVqn6
YY3Svj5ElsM5wP73MsUB+dXEYrtmlyTfOE+jUzQYEsWFsl96QD7kPtaZw8alithBtoL1Y9Cy+Z3y
1rrrZGFttT0Q8DA5yTZRkbf3RozgGuvDeXb64Yp43uGucTC5QhQYCf0kua5IyvBtqga2lGZRqJ2M
itZelbIEPQxTb50VSC0tv62gG7L+NXvhfDFzc7womwglOMuVe0IcHb3mPI8Ba8vmwctF+hJIwbiQ
PZwHoDrwTwAvxYkZebVzuF/PogpsTJ3tsMZlVRxRS/ICszYQeKtyO5EjSe1P4oVmArFmXkEAZ5Jm
+W5gbryPUyM/joJavPTS4QHXhrUzRL0lbiu+joKaAJE4669ixzHPHBLEyGUhXxanX6yXnHxWQoog
k99yi3OS7AcW40xtevIei6zhu16r+FxG1ChpJioKKIJFwsTWM/E7CAqjqrO/9S2jOJgvLCHL1Bsv
GWaO1m6oVbH7t///W/2/hJ77s/7/vujQZa3fmL9H34d3ATlZfvS3AYD7gUqIbh2votT20uT/1v9b
HxA0aoHiz2FL8Yf239IfkGMhlELVbSuTFdPvCyRSC6iltaOpopaBwj8LQH7HlfyRmcKiSmihICHz
PhA+/oC47CKTeXccFYexdxhmesAngLcTL78PQQ7t7Bz+JcO72L0lyphKzmQccjXYsCN7EGXuBumV
hO8XWc92E043hW3m91QC/kcclQjLcRiUB2eY9YFkU4anMDn0mSB2VFNJXozrYUzsbNMaI57q0IK8
cgEeObxKZAFmG6m/BSKpSqtt5UVMx4g+AY6boCEZN3Mf59+ajIZn5XiT2iVGo65DBpA3Seirpbrq
ja2oDIuQXlIHWYbonP7MCs2QbVnDkryYCGiBs1BCgfQxB2WWdRpmvGvAJkW+HdOqfxUZb2qDorr9
yqtI5hAqZ7PjdyQAMR/nIOQXp9P23ZfB0Nyu1wkzbNoNYwBfL9DFba1ZZN8i/uAHjAB40nLKe7Tr
kf9ltjXgykQOzXM5G0sByjt7VjDSnvNBJHegsZBp4Je7Hjo/fyhZCl23DZkqZ1BVgd4oGkt8OaHj
NnjnU+lDXqsKqLCE+9yOCe+rsksuZCx9nweXxTMXvvfo3M7RXH6Ugeve+CkAWKr1WsiNj4gPRwxp
1DvHpTnTs3Mcy6y8TmTl3WjAQeFFDCPw0HD9dj0jcZrnqNrPYThchJ0HU+rdb0CGS3EvZeXeGpi2
gDvT8qB40OBqUByB5pQPPhu/YzTx1zEIFjuySCuuk7rqjftZZRPldyxPirDRdZXi3aDcM3VzmI2s
5TOTmkVicfVpmLPqtWY0+lwK+r+1N6MDW6ahzRdpZLC52pBHiTtM3u1YUldOwEzvQXsGt6M1sxTz
xtrw1hooA01T06BCMLS5aVmVvbkz2qQEmNlFWVpOsOsmEZzUGOfRwXeqdj7iOINBHfmdcWH6Bg/T
gRJvy3jGzUMUHh55UKFONMungR6WxkEnFyGAipvSNahCZW3bj7mc1GWIFoluz0qVIVakPBEYsbaJ
J7L2AcgIBl1GHA/ltDK4EPg5dFS4r0jUlz2gN5CwXdqWz99nKXmY7nXVsEUD6u6CWs7si/DVGO2p
tdEnHVOWj9Ezkz2vPWn+qQkNNcUL6eDG/TSQH2cm/qWTZf056tvmOayyK9+zgosUEKv3OQYuQyqt
aWWFMk5BJhwSxuCGPWqL3Vc0L4nXcztvfZx/O2Hzr60l0iP5R8NT1JrRxvDC4pLVZoWEsb2LOxlu
UPKZzNFjU7qs58Lhybb9AJmIHRoPeWD5+6JGCsEWzspKlqfM6Jgn0TMmYwC0AKPoF53zHg4TE8kO
oojZbaZ2HM8GxrojMVN6M3n5XTG7F23cEM3bywY9ZzGehijutg5gs60i1Zl2mJwSQxlfkBVuK0RB
a7KD9visCTCKTBwIZetckUd3384NQJpgWHZz+gk2GdOPriNbnLbvGvPIHQmJ5qqvIYizO8XWoxDr
9SlmI7e0g52fN9RfOj+LvGy+xpNzRQnlvwJIGJCgVOl9Ti9+HfdMhYAusHkkn+mGaEJrVxUo0IcI
mZyy56uociE5YCpYh+QO70igpd82+ClJm0D1WhflJnHn18KnLmKgdD2X9WU7JD4bpZCQB6uo95Wf
17vYNsRlXfvDtd2ktAWsSVg9VPs8ku428id/hzg5XiMMItaXxKjDXKCKY8pD0nIWyfOUMg3pnODj
sv3ZBBLlW+JM+QZGZgHPtaif4ckMB5EF7SPAwpYbYzD2GFy+dbWd7qcwnrZtPciHXpr+RyvRdOno
29SRNVrGcME1xbGzWawgaFX6nGOP2eG9YulVBuSmlZglTi7D3PVoGM5tV4YeKiIeTXGGQa7VKuOu
sGeHwrMCs9ezz4u3bhW1d0TI+k9ehVvO0pmPPLQLYQ+51aecgSxI5zFKXkonzdj/9CQERqa7y5rW
2xdEVr2Wgy+evTowti3jqHUx5PMVIbUF+qsB2T6eu1uL/3CJ3tm4Rgn05GBlFWvpQaIMGtZpNVQT
QuXGNpEnPcbBhZdkrke0gK7WaRt1zjoxge1iBYvmjRoQCuhWFevelHTpNC6rOQuZ4hhljj2DLene
KZ3kZNQBW9Qy6BBhdcYTFpXmmTsurzZRN5RnYdWLLLC4JSNFXFlxkm9ccDvoGrgN1LATo9kwDyTr
xkQwiQlHGTiknfirRfjQ1y6rl1hsgKsId310jrWyp1NOF2ut46mCsagj+VhA/7tjoEOSnNsF29Kr
4CT45kfDY1oa5cELahn4KlMu1o3Sj7nSxiXfqWRNiD0mSsk5N0+V/xjUak8uxUff7j67ZqX3c6Ha
FfMsNC3R9DL1k7dpUxSFjlO/VeRxr3pLHBNyB7e1NMuvge/0DEANnDyuFR96nDfF2kT+uoUJJ2+w
o9fbpBmS21zaV3nAVphkhG6btSaWW5P4ZHSAYT0wSmVqwxSk9dGmN1+IsXwgvYVSivoCuZpcDVZP
KKaEjIXDChyctxyu9BdLMVO561ax+Bt5ym3D3CdJOEkeDNMmdmioxMfQdKIDocjOV8yXd10vv8GW
Qtob4d02nNccsOOm0hjxxkQ4J2/yZ+hVnWKMCqIpAKE8e90JbqjP2VmW2x4c1cYNeuI4xyk7Wn0J
3BIVXGzLx4htwEXKPb8CyCl3sm4gtMctig8R7+s+LU9FO96rOWx2cg5zAqEWvlY8f2mpP9et1RX3
pJ1g42pmrrWfMe9MJzL4cKi2qylvst3Y4aKrDfezH5gvZBz7r6LS1jVaKJpumtxKttxX+nNmZvIY
zR35RMQ8nkkwfDcXfXWyYU1d8KXBvB+yMUhLZnPNcHBLn9BxVSranpBFq2uHeyoW5w43G8PQdIh3
DEbHazN3/BtCsU81f3TSUPdRKK7CqVFr7SAmjAk+gvMwokGVMU7LMn4ck9K+88ew2yPPY27imHlx
14XLtJ2pikMmn7bBAige6RcM1O1NY89PbRwRwq1gwObXdIUBmyYPOHbxDT4pYsAM/7Uhrv2huZ7T
aBFfNusa6WlcZh+Jk0KN2IwPQ9PdlLK9bo38kmoNlfEySUxbf1yT7IefDjQWEbN8zbVLNDoknUhD
QHOUvkCW417YWQU6k+063T5sMtIB5htGmMkv9Pt/FYP/RTFoWfhkftb4PXzN869N8/XrH2WDv/7U
b7JByWaXhSqCPMv5veHzBBxtZuoMmfCJk5QMqufXha9lf7BdCbIS6gbdIo3i7x2f+uAtEkOP/CHt
WuyL/8nCVzl/0sWZkEgINRbSsgWkyh90cc5UYy8cdH40GOlIFg9UgHG/JRhzMGEmU2etJDa84aI1
QWJlTQXnvyGo2OFUPVSZigDW+022pW2VrHOU/cABlWxteqZNEDCcWw+1BW3KHl8yXJjVZrK09cZI
WB7NUkD28zRlfRgwsfWdL11etsfeaoI9oqVgg3emWks/CTEmtN1+6oWgvbMUTn5vbHaaqpSFl4tX
N56KF1VW7lteN9mxG4N5JyJ71zWo60RLglQfR8G1rPE+5lOUPpioOKLlsYYnFG1m8RLKrtqbSIpO
YNCWYo01/iffdUq2xBnpequMVd9lwSzyMYlbFz74LO66oTY3eerc9p30LkWM9cPN4GthfsSHz1Ps
MDtdv0kizlo/FvW+dgg6GiLs5wRs3RZl4RxrRGw7gjh52HHqX+eOdwpyFt7FmNyApOPw8UlcJdHN
3SI9LFYdwMV7lnIopisl1gIm84VHAvSxa2bj4BszrVISGidiQ5goETnKbIknUhOz9ans0Am3lWss
gdxD90B0MWtiRK0XgZ/pPRrrbGdWlua3NvNt2ZvNpRMZPFI688Ees/HzRLe9bQYkib6TNLdzwnkM
/pflNjybjVGO052KYudTx/FV5tNHkUUNxiqeul2PcQlPu//Uu1GxA7lsf3Ej4sAJVTHjy0BnS75A
STLuOLKgdJdBGXNF98DTud5hg4cJKZaIT9Sly4qcnS0wkE9unQ/fwDx6u3lxi1CqZ/mW7426VdPQ
oLiPy8ewk/GjS5rKm4E8ED3DrMWlUcB0dI1FGJ4J/siRF5bbEpjeCvE26y5avpMv7Pzakn1xiR/y
MRwNUk/IpaoOblckt2NRGSc3BzFnZjUG5CqimilTFdfriI7TOXQGG6BdjYOKJWGnkmQ9d+Nwoozb
xbnZexSWtbULVemuTR6SS+dhZoepYwKfz55mSq06QZK0icfFGjC9YiEOnA1VSLQazTm7QZ118DQY
obDLq8vaNt+KtHL8i8pKx/BcyvTZjmrnLis0OzvEGMcm6pRv7lPcMImz6lnee5/ZOFXET/rTfI2P
trlpOhamn70cw/8FEdOr3G27R10uayoEqtRFeDkeEFeQOlF3chukuXcaCsdEYug3QCTL0C7vSkbt
MabpqQ8wgDHjfTTTQSXjRoskb3Hd204BqqPRbmNAAIhNcc1ByXXP+nJmkx0vo29Qn+J1htPRrgUi
/6tqcsDOCuZkVb1t9CRv85Hp+5fYJwhPR7O34oQjIFcZBE5RpHDn6mRFrmYHuRSVBGKTfnEri9aL
PxH3PBkHN+9R+ukiHYwVXFRiq3/hwyyVgLoc4KXC6QBdlCDe5k4B1RngbmhFv8oZUt+gRVVfGDa0
yZ6hQc9sa0I3uemJUCZ8hDGLt811wkvOcCFsggcFtn528xnThBSwkRjKaM/Zx3i+TXyczMhHsG/A
5ostYju8vLiG7GAWNlioKrTac5IOWmwKqMOAoEYn2CLitK/HZe+tFXMkgTIhXtWaa8zcwJ8ewKCZ
59o2lkFyUVcCxYA3EP9n2Ze5p6pjErF9UaP2EVug7iHhynL2nTTDPcBHd1+QHH2Tm+nFHHhQeGup
C8D6C/gUnwwat1aFzOVchy9VH+Fy6/JOrlrEyyfXqffayOPlu4rtQQZ2tK2DwjJ2giDpe1QC8dY2
G/xo1sCg3TbynGhM0pbd3iHxw2bahuLOpAC3vPMETGWVVrXcJKMK9m1Nm7Ca5w5vW9bM0+dqqj7x
jKqvFtDXbnB8eC1oG92VKSpxH8zS38FWch/xmja3Shk+D4c8BUHoNNdF6wIUMNCi9MAEPs+mjZ7X
l5vGIfWTo9M/ZPyql8SR0Qa6ifvay2osANSY5SHW1Xh2Zme+VNp0V0FFDEE5TDHVvEUzVxVoF0Ho
U9up1ciGJKZ6DiVK254M9Jga/oZItBjGkLdv0rx8nJ2iPU523+1lnWP47DMN6F8y+JobA2JPSty8
w8gt3tSj6Z4jiyPeMy0EoThIV+Qhjfejp/TKRNOzCnDI3ZRTgJWJ1Nitir1gb/MBdmVDKirZ3Crk
aJzVi0VKNM9C7ZVvvWu2l9KZ5VfmJ8VOt7O1TaDjHuymsp5J2i5Z0RbBhuUhLNmIRqPO2/QqQQHz
1PE9vKStr2805okLmBf5mvYhvqATi/aVFfZXyJsQeGHjPZD2/LFyVXQxqTB89hnPXPm+9PgljU0l
kM0pljfsm0VmiatmDLN2HfHNv9GxM+49067fXCfHnWqja6KFva0xdkFqzlz7mNF23Sb2km8aJ8Wn
AfH2qhwzgTesEEe2ps+kAbG5zenCU3rWRcppEb2b1C6bYNATuS+2qg7KSx1FAmVmAzSGpz+0CnC5
G0VTTEAT+lHD7FoXr2fAtFDB+vEMZqdNP9reusJdvWaEMEWLYRfCcUYaEElHiS0DfpsYXMAgfKlr
xFZQpPWbOVLLj4oua+WImJOgRtuK76tndubcW3XsQq5A8RYF4UNjT2V0++9i528tdsBXUlz/Z2Hn
Y/sWflfa//IDv5b2UuCZ1wJggvht//LbPgf95AeBkd7TpOJ4DAGAS/ym52RrIxe7z9INME1qw//7
Pwg5Bf9YLHpAWyys9X9S179bff6wyIFWAfue3fuyTkIV+iO5oqCTDIsJxbyXzwbp9i5T42mHvp8H
WgY9kjwWgDJ9EJTnRitG5NPEaIEK5maq8vpQVwNghxKYGhNNcIiRHO/CadI3+NobSqgiHVFzk7Ez
CEI2Dllmg0q/M5xpzIHSeL3rqccQIi8SCIydJMQGAzr1lUh949rLVJ+dijpm7kDhIwv3m1USSN8d
BtZjY38MnE5G/tF3iGaEGudW/T1KRqHujZw6Y1uq0FTbIB5wpnItlXXtJpSbgpfl0CuFzdfE5Dsf
YF8lkCpTGVafNLrysyzcV445W+sht/2HPDPDh7ktrAMfihRegrM/IceKHtxY1dW6zMKYGk9D26yr
40xLvwsLv3uDEAqvvSG7hGwNNrc2Zf/aK3omqxDyZgYHp5iZkca0OycDevNhEH11Np05y+Xi6B2v
wiDpjSOu3WHaJIkRTPcGArFZbESQxAyGWfmYzh4VDOOI3hdFWx1g2fhyOYeSHm3EnZ2KqL4s4Q3Q
/awybZpZf/z3RPhbJ4JN2/2zE+E5aj4XMOjz746FX37qt47f/sCBQNqq/h2y8eua1zM/wJSx6boR
f79ven8/FjgCgGsoF/ueMh3H4m38ejooE2qu5QgIA4wEyCH8R13/IuL+/XCAvuGxMGawQZUHG+RP
h4MpRZhgZrLPSFj5ri+sVS351s/TxKHQ8ixF4v7/j8z/is795QUdMD1seTksbfkDzybhU5dmmemz
RZm0kf0Q7RlXsvyE4XQIEBld/fz1OEb/9AEdZXO9QA277AW+V7GTgoV6FQvU2SlC+y32eAFCfuRD
o0k6+vlLLfORH64lf2r+1mzghSN+BKTiHwqDLpHqnGRgNSMnroFtz5T8NsEQV+08e09OwpDxb9CJ
/uJTcidp7gZXSM/5Uas/VIhEhFGrc2PGWGXckhYFxfHSRAXwzX7+OSXTqB8/KHeg9Ba9JtCS9yfO
H3DEI5QPFG+ROg+FzQuR1UgXNMQCEGrfOmiqcisuwxNDnobKpobq/wKPFMIaRiJjLdBmXvz8Hf35
42N7WJjPjM9sR5k/TK5ITfK7NPDV+RcYKUHn0V5Agd7/L1+LJza5J9zC3Dg/3FABKv+U5586w6KU
V52CaYeMerzrFq7rzz/W8l34/oayxTIqxMZLQSv0DzZZMucBeBWdOpNX960xYbB2Zmb8l7/mX107
DiHCU3kxTqkfvpAChTmuq1SdsYbBdXJ7CE4u4oC1nBP2aT//RIvc5U8fCdaPNClGuIQ/zhjhach+
ZtF9jk2iKDf43Iuz9A1ggGndlK8urN83Fkh8SSNvvAPAbB0DkDu/PND+owf4L+5gW+CJQFrBVxWw
9g83jE+ALNyBRJ1HtzVPVpJj0qh8z70ojYY7lDSVbJskJo36NHcLjXb58mqUZXtOkPrw84vyV38B
pcCh0I8xHP5RaZOAJhqzBHLMO0+XynBYDXlHQnVZ/zfI9V+9FCAxOO7UlZb54x01lm5d1E5lnSPN
5fW8JW/bSJf6z7X5S/z8c33/bOH4VgpQNElFPFlQRf/4YmXYMoOqSuPkg8ed6a3q8jW3UujHA2jJ
Pp84HX7+ivL7I3h5SUz3S/ijzd2sEFFx+/3hZCoT+KC4672TQHW9V27OdrypG6qkwQDt21D4sdid
xxu0rebDO9Y4GwkDB7wCf5IhJJvspeh9P0Fgzi4EkdmEsehD94XOKElR+Plb1u/19+/fcs2Dnzn1
otoCO45F7EeCHVVgrEa0uif4PNkO+M+8KyIb7IZsko5BUzaNAYTPuC78NTGMk72V/LLbGvZctp3i
lPfoE60crX0dtF9msIpfRjpYjFPhvEA2CXkNN6KO0ShpOTBfQhWq3qrQBdZoV/VBxPxYTfcAZpyf
YzxsWsfBJO+lxWFzdgOFUirmAsK1jacbmlaI2zbz2yfyYo2YlGK/kgfZ6MVn6LAd3WQegPI1KTm+
tQq6yLL3aV7xGi5X+l0MVlUu43uFIThcodNiWxDCDoHFJcvXifXZvDfAytunAf7ouSE1EypoLYEb
v3PgkzitXp0SL9opk9F0JzHr3Bhma/SruUyC6KMkWIPmeYa5QWoO7vQnbJPce21ivyV09/jAsB+9
TdJrvrDoWJ7Qfa/fsikxP5ezbx7g7FR3tQ2HUQ9QipwoUAjcGq+Hc+VpHqjI5uWDgQfsrJZuHdql
sbZGxRX1gWtPyoz2vmU1X6BxkjVSmPKhnU2uj4dT/q5pgvnJ7FEjlZ7i7/TeiklCMb8kZNebK9sC
Oz83vrTWLoPtp66c+L8YUiJA83N+SxZPknaF68ZUuKl+eaLmPKmZ52BcxYwX1vEhwDAOqtFxuLNV
aKsJ2fg0O6dwKUwMhie/gLRFbI53CZK3cZsKA1Q4emN5VUUVdw0GGQCtdsLVxNZVonQv3Clfk30D
m7VczkujdyrY3qqHEIujljcDhQ7e0jvr1S5Cvn+FCKZg+w54D41sAbzqDIS4XwBm2zgMfdD3v088
ZU7MNbwDw3tqBIPcPeNmiEaGhVxQLobmtnUQu0/wothH5Wgg1yUj1MsZzkuwllGm35Ce6Td7UZxh
Tqu9FJ2vrO9JSjMP8zwwMTcDW33M+z5/cOdoukTJR4YK+QZyFRupdFEZi/oUpQWtJyZofks6okXM
56LbiMa3H9J0Bm3Dug4eg6Pj6YrYO3HOVFiAvkw8YFnQX9YjzsX1lM/TQ+IR6QKroMRbLZYREPck
Mg302bctqr0cp32XfS103X5z1cz82XS6/8fdmTU3iixR+K845h0HCMTyMBNxrcXyvvTm7hcFljAg
sS8C9OvnK8nqbrx1j1HETFzCL7bkosiqyioyT55zael94CNNveBdtlzimQbrAMcFIJngXCE1yZ0O
5isfE/jWZ7xnEqEsoug8zuXMHcuqaRDkLhN/iKRjdLyKy/jSAuIEenOde99cFbY2gosUSoGbPk6j
ZnqmUECcHpt5pX+FJhhdaYixv/GiHp/CS0OZXF1p629RkC5HpFzWg5zqFZgapn0gQ8sq+ragELEY
RisvHy7lzDgWh1HA+nWak1bPQmmUcgYUMKxwTPCrEI4JwAFKTrclhQon0TJNThYZGIOmXzYOumXV
yJN86QaWuPDOX6402JlgowLVAmIReu8jsgi2UYDsg4RZGk57oTcAjqOMQxDbC/SALrXak3H/6hRx
J/JrFBwIHs24GCxFdRsgFcp43FiMfFKdc9I1J0Rpm/4wgoSactEpN4IxcAqmkPpXM4acL6DcawiZ
L1V6YVx+SpZ6CoN7lI8hFWsGkSfPAiOP76wAfQLfUiCKkOAOKwP6YU2L8IZdaQ1+CPd+rmspCkiu
zIgabm9xjhpZdC0XZQL+hLLEgYRIXWE30wLO3t6CJZELIv9RnBSoF+j1VBQtqFASCeL0Yu5mMg4p
XlvKR6gBmbLkOGGaNkh8jswSfP8IgsI6gnAileHHNij9h5lOir9O0Ry6DupUGmyonQuq7Ezq4vpw
swc9jcrcTGgOoNib5McIyuOCNmzQG159qeY9Ci57jnA6NbIfV4nG0i+9fjrRaoCkk76yBA8FPz9d
M8CtQYocBV970BZynoPwGHLAWLC2I40MBIKSEDN5aJKVRtDUAFQTGEU+ihZa5cDnDO0EKvH9L5Y+
tU5QlcsnAch97yiqXZ/iSGXh3eerwl4kfeoMNN91BwDU0vwuWAN3+gCglbiO2fOoaALPPNBRSxx5
VYV6oaSvx40pgu2WG0LOZ2jVJ8qHw1vdTR5QObyre5pytYSGg9RjAGClZ5H00sqkN3cLz52vfb/6
4JYGI8eKh9gLfjMLjUBgzUcrzyePC22jcQoCCjLIugqSEEgHfhygMgUPk8KqZXKFcXOR5tRJ6IDL
pKMMvWVKdRmFBeWVpvVZiuCEGhFkDi6QpdOuQOgGV6milbehb6aDLFaomFtJwYiaG/U+tnTE1PSE
Coz+tOejrmGqYO88Sg+qcl1ZR2Ea4C6sKcSBoamdNtXqfppI1YeqcJc3SlkC+6Nq69uy0pfQLiKK
wV4J1eJR2qjupaU1/kVGWeOpZFUWAh4rN7d7PiCy0KA0NAIucwZLL2lircjD7FjB5Y1h9CLxXSu9
HqQsGqG8sRdE6kd9mSSTVaSuPyS+Nz2Xm3J9U3gyYmwrt/paBkVKeVqea/5p7dd1f0AKQAK0O63M
5aVeky47trwyn/CWK50voNn+RBgMskIJGkB0FiVDXhJvNKvLih3+QVml+UUJneVxzUZ4Fi3yMBgm
lgc/R6zweuHh3I5he1Ag/uZkIQ3clbG6cXsrCoiixRRGFKAA2ddlXagkm4P+ObQauFFVbiwi+gkc
FEMyvyViulHcuyiMZt2H4zIFLGkGhoZDVCon7unldGxJUAW6iaudaFraG6mBvp7kpeHf5qGSfiqV
Jv9sBuDRVjWh2vVC0ImjzQPayPNE7eTCGKpJZfhAIdbeXA6Rd6Q6roGeBSntYKhhquvVmvcUJIqN
bNAno3AFhVX9Sc4qiSxGQVGgr6bq2ERO2oBSLOqP0VwEeBH3fCs/Lpm7D9PAq78kplrMoP015pVe
wOkmw5kEShUKiwBissAA/Wgi5QW0N/WHmQfSdQKHzUPfq93rfBGq7HJ+XpyqVe3FR3EM2pDcDyxH
mpEBhWd3vpIAaY16sj4thpYrsA7rpq6PZC82QDiVWmGeLUtgd5JmrO6g70BLwnDXiysZdIh8NKVo
9yqyAnhhKfqRbjxJZdQCAkgaQdwqqEsEFNJ6+kgf9X+Dfnp8EMEWDP+RXzQ3pZM1t07Oisl3fBDi
0+vYj4qP8fu+9HZDB87vRFfhX1N5P/0ePPzeqU2P32ojsHmwcu6QKrFEpYyQDhbxPS5eCAPIex8/
lhQF+FS/z5GHwJi4CGVxw5+M9JoZ3n7CrT3f/s5bT7A10Mn8zz+I7zyjE9n06R9YQZMP4XhTwIKh
p7a52lYwrUNuo0O6hdbU4+f/ihVmcRkVYja6ftyKmfdEsPR3ZsKTFlozoc98MsDVbQYawejWTLDI
zgkLiTDL5tre8D80E/oMzu8ZwZ6HaIXiPTN/VvCYP5aDcYgwM8EPBWZCcTHd28vBOuSgSfxNI94n
rv/aclCpkevsFJRDZNxMkico3L9gBaaCSrmFRZXl1gg4jX9lOTwZxx9OgZWqbT3VNqT5HteoGYdI
E7IiYAraXCSdW3OhB4UlvpN09NZM/8A1/saq+b7XDDw/mI/EhuA7+Uub0Wtf2HnX558/elbhPoXj
aH1RgHi3996aU/z+V8vQG+//04e73WBzn8d/f3zA57du3Wv3VLs/Tnwns7MZiiWb/e+xm5d2yE71
v8C+t0P750QhZsdJ/ejJn3+0+vmTL/hFw/nySbsiKdG5XZg/43b9KhkP1mb3hpd2lNv5rqXNLgg0
Yve7GIL3mWJgB/5DnD2h3dr61a69HsRBnNnzFiUssgUEmLu3DGx8VvjQa+8aEyahQga/1LXxoRPY
lZ05u5ZEy6ap7sHYu/3nIH44wDhleN9mOxOqrru7vn9Ix1jdn7enN8BcMmFdLXPsxFC0tVvuyTLH
gq4tT7C47+/a2UxvlTLu3R/eb4yTue21JqCiGcoeXMhJQKV67LdX5PZc2tUWJ9Hct594EY00/B6M
EVftwQNZxRbXtcNnz30TOew9rJczelbOls2ui5t5Ibbf3R/ePy/O49LPn5nZooSte9sXth+1vAfB
0H1sLxc2cRI7mu96KMxBhcs+hvDCznN7RvDHKYrWnCbdq+3DJP7M8127/QIDNdQeVviFL0qIngr6
cFrfw4K58PNc/CRJyzdR0yHvqfW4zJ42vZeOx1HxxIeIhLK1mzrvXziXzn1mPzk9AQaAObOzH7l0
VnZ733qMd3R1UJdOdTCxwyT3/Pa2TvvWHhygaP/UyXKn2RlhszRhKd1T4xdO7c9a2xi5lX3s6KLn
r0nYvx6Q+h51eOuQfbnR2nqJ0wX+emUPu8P2Bq+LeXXs/2tiBl2bXQacSNpvNT1AxntwsleZ4z6N
EQE3283J96/5a6o08yZY2U9eEwCzCaWArsvz1ovnzsFJ/mxvg+dnD2fLD78kF+o4pNsbPJ+Igrto
D+8jb9bIduz6R6duv1U+BpO6DulruP+O3f3sZCE7227KCS+rshXvYS9+kXwa4NEe5t8Xm30H4oP2
0nyMV3U19BfnF8zZHS3+Jly7a9sNIrCR2xpNFNR/uWe+FGn6nqB4Hn/aJR5e+rd2cE18YxY4dvbX
3wAAAP//</cx:binary>
              </cx:geoCache>
            </cx:geography>
          </cx:layoutPr>
          <cx:valueColors>
            <cx:minColor>
              <a:srgbClr val="FACA82"/>
            </cx:minColor>
            <cx:maxColor>
              <a:srgbClr val="F19100"/>
            </cx:maxColor>
          </cx:valueColors>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5" Type="http://schemas.microsoft.com/office/2014/relationships/chartEx" Target="../charts/chartEx1.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7620</xdr:colOff>
      <xdr:row>0</xdr:row>
      <xdr:rowOff>7620</xdr:rowOff>
    </xdr:from>
    <xdr:to>
      <xdr:col>14</xdr:col>
      <xdr:colOff>472440</xdr:colOff>
      <xdr:row>4</xdr:row>
      <xdr:rowOff>182880</xdr:rowOff>
    </xdr:to>
    <xdr:grpSp>
      <xdr:nvGrpSpPr>
        <xdr:cNvPr id="6" name="Group 5">
          <a:extLst>
            <a:ext uri="{FF2B5EF4-FFF2-40B4-BE49-F238E27FC236}">
              <a16:creationId xmlns:a16="http://schemas.microsoft.com/office/drawing/2014/main" id="{CD118023-18FB-AB76-2965-1BA92D6F5610}"/>
            </a:ext>
          </a:extLst>
        </xdr:cNvPr>
        <xdr:cNvGrpSpPr/>
      </xdr:nvGrpSpPr>
      <xdr:grpSpPr>
        <a:xfrm>
          <a:off x="7620" y="7620"/>
          <a:ext cx="10566763" cy="959031"/>
          <a:chOff x="0" y="7620"/>
          <a:chExt cx="9852660" cy="967740"/>
        </a:xfrm>
      </xdr:grpSpPr>
      <xdr:sp macro="" textlink="">
        <xdr:nvSpPr>
          <xdr:cNvPr id="2" name="Rectangle 1">
            <a:extLst>
              <a:ext uri="{FF2B5EF4-FFF2-40B4-BE49-F238E27FC236}">
                <a16:creationId xmlns:a16="http://schemas.microsoft.com/office/drawing/2014/main" id="{D7321BA7-DCCC-CBCA-C804-E7F30D1C8CE5}"/>
              </a:ext>
            </a:extLst>
          </xdr:cNvPr>
          <xdr:cNvSpPr/>
        </xdr:nvSpPr>
        <xdr:spPr>
          <a:xfrm>
            <a:off x="7620" y="7620"/>
            <a:ext cx="9845040" cy="952500"/>
          </a:xfrm>
          <a:prstGeom prst="rect">
            <a:avLst/>
          </a:prstGeom>
          <a:solidFill>
            <a:srgbClr val="EEFB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xnSp macro="">
        <xdr:nvCxnSpPr>
          <xdr:cNvPr id="4" name="Straight Connector 3">
            <a:extLst>
              <a:ext uri="{FF2B5EF4-FFF2-40B4-BE49-F238E27FC236}">
                <a16:creationId xmlns:a16="http://schemas.microsoft.com/office/drawing/2014/main" id="{234FF140-78AE-5E76-7489-FD2F2C3D7DA5}"/>
              </a:ext>
            </a:extLst>
          </xdr:cNvPr>
          <xdr:cNvCxnSpPr/>
        </xdr:nvCxnSpPr>
        <xdr:spPr>
          <a:xfrm flipV="1">
            <a:off x="0" y="967740"/>
            <a:ext cx="9852660" cy="7620"/>
          </a:xfrm>
          <a:prstGeom prst="line">
            <a:avLst/>
          </a:prstGeom>
        </xdr:spPr>
        <xdr:style>
          <a:lnRef idx="1">
            <a:schemeClr val="accent6"/>
          </a:lnRef>
          <a:fillRef idx="0">
            <a:schemeClr val="accent6"/>
          </a:fillRef>
          <a:effectRef idx="0">
            <a:schemeClr val="accent6"/>
          </a:effectRef>
          <a:fontRef idx="minor">
            <a:schemeClr val="tx1"/>
          </a:fontRef>
        </xdr:style>
      </xdr:cxnSp>
    </xdr:grpSp>
    <xdr:clientData/>
  </xdr:twoCellAnchor>
  <xdr:twoCellAnchor>
    <xdr:from>
      <xdr:col>1</xdr:col>
      <xdr:colOff>68580</xdr:colOff>
      <xdr:row>1</xdr:row>
      <xdr:rowOff>45720</xdr:rowOff>
    </xdr:from>
    <xdr:to>
      <xdr:col>3</xdr:col>
      <xdr:colOff>388620</xdr:colOff>
      <xdr:row>3</xdr:row>
      <xdr:rowOff>167640</xdr:rowOff>
    </xdr:to>
    <xdr:sp macro="" textlink="">
      <xdr:nvSpPr>
        <xdr:cNvPr id="7" name="TextBox 6">
          <a:extLst>
            <a:ext uri="{FF2B5EF4-FFF2-40B4-BE49-F238E27FC236}">
              <a16:creationId xmlns:a16="http://schemas.microsoft.com/office/drawing/2014/main" id="{9F097CC3-6E87-21E4-7CC0-A3CB5828F47A}"/>
            </a:ext>
          </a:extLst>
        </xdr:cNvPr>
        <xdr:cNvSpPr txBox="1"/>
      </xdr:nvSpPr>
      <xdr:spPr>
        <a:xfrm>
          <a:off x="739140" y="243840"/>
          <a:ext cx="166116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a:t>Staff Metrics</a:t>
          </a:r>
        </a:p>
      </xdr:txBody>
    </xdr:sp>
    <xdr:clientData/>
  </xdr:twoCellAnchor>
  <xdr:twoCellAnchor>
    <xdr:from>
      <xdr:col>4</xdr:col>
      <xdr:colOff>312420</xdr:colOff>
      <xdr:row>1</xdr:row>
      <xdr:rowOff>190500</xdr:rowOff>
    </xdr:from>
    <xdr:to>
      <xdr:col>6</xdr:col>
      <xdr:colOff>632460</xdr:colOff>
      <xdr:row>4</xdr:row>
      <xdr:rowOff>114300</xdr:rowOff>
    </xdr:to>
    <xdr:sp macro="" textlink="">
      <xdr:nvSpPr>
        <xdr:cNvPr id="8" name="TextBox 7">
          <a:extLst>
            <a:ext uri="{FF2B5EF4-FFF2-40B4-BE49-F238E27FC236}">
              <a16:creationId xmlns:a16="http://schemas.microsoft.com/office/drawing/2014/main" id="{914FC4A6-7D1C-5794-3BD7-880D276EED4E}"/>
            </a:ext>
          </a:extLst>
        </xdr:cNvPr>
        <xdr:cNvSpPr txBox="1"/>
      </xdr:nvSpPr>
      <xdr:spPr>
        <a:xfrm>
          <a:off x="2994660" y="388620"/>
          <a:ext cx="166116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HEADCOUNT</a:t>
          </a:r>
        </a:p>
      </xdr:txBody>
    </xdr:sp>
    <xdr:clientData/>
  </xdr:twoCellAnchor>
  <xdr:twoCellAnchor>
    <xdr:from>
      <xdr:col>6</xdr:col>
      <xdr:colOff>365760</xdr:colOff>
      <xdr:row>1</xdr:row>
      <xdr:rowOff>190500</xdr:rowOff>
    </xdr:from>
    <xdr:to>
      <xdr:col>9</xdr:col>
      <xdr:colOff>15240</xdr:colOff>
      <xdr:row>4</xdr:row>
      <xdr:rowOff>114300</xdr:rowOff>
    </xdr:to>
    <xdr:sp macro="" textlink="">
      <xdr:nvSpPr>
        <xdr:cNvPr id="9" name="TextBox 8">
          <a:extLst>
            <a:ext uri="{FF2B5EF4-FFF2-40B4-BE49-F238E27FC236}">
              <a16:creationId xmlns:a16="http://schemas.microsoft.com/office/drawing/2014/main" id="{8E5B8BD7-7674-7A64-645B-1B365FDA99B4}"/>
            </a:ext>
          </a:extLst>
        </xdr:cNvPr>
        <xdr:cNvSpPr txBox="1"/>
      </xdr:nvSpPr>
      <xdr:spPr>
        <a:xfrm>
          <a:off x="4389120" y="388620"/>
          <a:ext cx="166116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TOTAL</a:t>
          </a:r>
          <a:r>
            <a:rPr lang="en-AU" sz="1100" baseline="0"/>
            <a:t> FTE</a:t>
          </a:r>
          <a:endParaRPr lang="en-AU" sz="1100"/>
        </a:p>
      </xdr:txBody>
    </xdr:sp>
    <xdr:clientData/>
  </xdr:twoCellAnchor>
  <xdr:twoCellAnchor>
    <xdr:from>
      <xdr:col>8</xdr:col>
      <xdr:colOff>403860</xdr:colOff>
      <xdr:row>1</xdr:row>
      <xdr:rowOff>190500</xdr:rowOff>
    </xdr:from>
    <xdr:to>
      <xdr:col>11</xdr:col>
      <xdr:colOff>53340</xdr:colOff>
      <xdr:row>4</xdr:row>
      <xdr:rowOff>114300</xdr:rowOff>
    </xdr:to>
    <xdr:sp macro="" textlink="">
      <xdr:nvSpPr>
        <xdr:cNvPr id="10" name="TextBox 9">
          <a:extLst>
            <a:ext uri="{FF2B5EF4-FFF2-40B4-BE49-F238E27FC236}">
              <a16:creationId xmlns:a16="http://schemas.microsoft.com/office/drawing/2014/main" id="{701B33B7-09AF-48AF-0485-149B70B0C94E}"/>
            </a:ext>
          </a:extLst>
        </xdr:cNvPr>
        <xdr:cNvSpPr txBox="1"/>
      </xdr:nvSpPr>
      <xdr:spPr>
        <a:xfrm>
          <a:off x="5768340" y="388620"/>
          <a:ext cx="166116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AVERAGE</a:t>
          </a:r>
          <a:r>
            <a:rPr lang="en-AU" sz="1100" baseline="0"/>
            <a:t> SALARY</a:t>
          </a:r>
          <a:endParaRPr lang="en-AU" sz="1100"/>
        </a:p>
      </xdr:txBody>
    </xdr:sp>
    <xdr:clientData/>
  </xdr:twoCellAnchor>
  <xdr:twoCellAnchor>
    <xdr:from>
      <xdr:col>11</xdr:col>
      <xdr:colOff>137160</xdr:colOff>
      <xdr:row>1</xdr:row>
      <xdr:rowOff>190500</xdr:rowOff>
    </xdr:from>
    <xdr:to>
      <xdr:col>13</xdr:col>
      <xdr:colOff>457200</xdr:colOff>
      <xdr:row>4</xdr:row>
      <xdr:rowOff>114300</xdr:rowOff>
    </xdr:to>
    <xdr:sp macro="" textlink="">
      <xdr:nvSpPr>
        <xdr:cNvPr id="11" name="TextBox 10">
          <a:extLst>
            <a:ext uri="{FF2B5EF4-FFF2-40B4-BE49-F238E27FC236}">
              <a16:creationId xmlns:a16="http://schemas.microsoft.com/office/drawing/2014/main" id="{EBB1AC22-4E5A-4FB6-C7B6-A28AD6C75292}"/>
            </a:ext>
          </a:extLst>
        </xdr:cNvPr>
        <xdr:cNvSpPr txBox="1"/>
      </xdr:nvSpPr>
      <xdr:spPr>
        <a:xfrm>
          <a:off x="7513320" y="388620"/>
          <a:ext cx="166116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TOP</a:t>
          </a:r>
          <a:r>
            <a:rPr lang="en-AU" sz="1100" baseline="0"/>
            <a:t> EARNER SALARY</a:t>
          </a:r>
          <a:endParaRPr lang="en-AU" sz="1100"/>
        </a:p>
      </xdr:txBody>
    </xdr:sp>
    <xdr:clientData/>
  </xdr:twoCellAnchor>
  <xdr:twoCellAnchor>
    <xdr:from>
      <xdr:col>4</xdr:col>
      <xdr:colOff>533400</xdr:colOff>
      <xdr:row>0</xdr:row>
      <xdr:rowOff>53340</xdr:rowOff>
    </xdr:from>
    <xdr:to>
      <xdr:col>7</xdr:col>
      <xdr:colOff>182880</xdr:colOff>
      <xdr:row>2</xdr:row>
      <xdr:rowOff>175260</xdr:rowOff>
    </xdr:to>
    <xdr:sp macro="" textlink="Calculations!$D$6">
      <xdr:nvSpPr>
        <xdr:cNvPr id="12" name="TextBox 11">
          <a:extLst>
            <a:ext uri="{FF2B5EF4-FFF2-40B4-BE49-F238E27FC236}">
              <a16:creationId xmlns:a16="http://schemas.microsoft.com/office/drawing/2014/main" id="{F557D14D-58CA-1556-CCAA-FE51FE08D2B6}"/>
            </a:ext>
          </a:extLst>
        </xdr:cNvPr>
        <xdr:cNvSpPr txBox="1"/>
      </xdr:nvSpPr>
      <xdr:spPr>
        <a:xfrm>
          <a:off x="3215640" y="53340"/>
          <a:ext cx="166116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91224D3-041B-4297-AF73-DC6C00104364}" type="TxLink">
            <a:rPr lang="en-US" sz="1200" b="1" i="0" u="none" strike="noStrike">
              <a:solidFill>
                <a:srgbClr val="000000"/>
              </a:solidFill>
              <a:latin typeface="Aptos Narrow"/>
            </a:rPr>
            <a:pPr/>
            <a:t>321</a:t>
          </a:fld>
          <a:endParaRPr lang="en-AU" sz="1100" b="1"/>
        </a:p>
      </xdr:txBody>
    </xdr:sp>
    <xdr:clientData/>
  </xdr:twoCellAnchor>
  <xdr:twoCellAnchor>
    <xdr:from>
      <xdr:col>6</xdr:col>
      <xdr:colOff>434340</xdr:colOff>
      <xdr:row>0</xdr:row>
      <xdr:rowOff>53340</xdr:rowOff>
    </xdr:from>
    <xdr:to>
      <xdr:col>9</xdr:col>
      <xdr:colOff>83820</xdr:colOff>
      <xdr:row>2</xdr:row>
      <xdr:rowOff>175260</xdr:rowOff>
    </xdr:to>
    <xdr:sp macro="" textlink="Calculations!$E$6">
      <xdr:nvSpPr>
        <xdr:cNvPr id="13" name="TextBox 12">
          <a:extLst>
            <a:ext uri="{FF2B5EF4-FFF2-40B4-BE49-F238E27FC236}">
              <a16:creationId xmlns:a16="http://schemas.microsoft.com/office/drawing/2014/main" id="{720E37A0-B5DD-9C8E-9128-5C9E8CDB0B58}"/>
            </a:ext>
          </a:extLst>
        </xdr:cNvPr>
        <xdr:cNvSpPr txBox="1"/>
      </xdr:nvSpPr>
      <xdr:spPr>
        <a:xfrm>
          <a:off x="4457700" y="53340"/>
          <a:ext cx="166116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72E3E87-CE96-4A79-AE63-CA1C0F5C8EFD}" type="TxLink">
            <a:rPr lang="en-US" sz="1200" b="1" i="0" u="none" strike="noStrike">
              <a:solidFill>
                <a:srgbClr val="000000"/>
              </a:solidFill>
              <a:latin typeface="Aptos Narrow"/>
            </a:rPr>
            <a:pPr/>
            <a:t>261.75</a:t>
          </a:fld>
          <a:endParaRPr lang="en-AU" sz="1100" b="1"/>
        </a:p>
      </xdr:txBody>
    </xdr:sp>
    <xdr:clientData/>
  </xdr:twoCellAnchor>
  <xdr:twoCellAnchor>
    <xdr:from>
      <xdr:col>8</xdr:col>
      <xdr:colOff>609600</xdr:colOff>
      <xdr:row>0</xdr:row>
      <xdr:rowOff>53340</xdr:rowOff>
    </xdr:from>
    <xdr:to>
      <xdr:col>11</xdr:col>
      <xdr:colOff>259080</xdr:colOff>
      <xdr:row>2</xdr:row>
      <xdr:rowOff>175260</xdr:rowOff>
    </xdr:to>
    <xdr:sp macro="" textlink="Calculations!$F$6">
      <xdr:nvSpPr>
        <xdr:cNvPr id="14" name="TextBox 13">
          <a:extLst>
            <a:ext uri="{FF2B5EF4-FFF2-40B4-BE49-F238E27FC236}">
              <a16:creationId xmlns:a16="http://schemas.microsoft.com/office/drawing/2014/main" id="{FEFA3CF5-BA81-10BF-F715-CDF097F33C0E}"/>
            </a:ext>
          </a:extLst>
        </xdr:cNvPr>
        <xdr:cNvSpPr txBox="1"/>
      </xdr:nvSpPr>
      <xdr:spPr>
        <a:xfrm>
          <a:off x="5974080" y="53340"/>
          <a:ext cx="166116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0CDE88E-24F7-442E-9846-15B9C22C16CE}" type="TxLink">
            <a:rPr lang="en-US" sz="1200" b="1" i="0" u="none" strike="noStrike">
              <a:solidFill>
                <a:srgbClr val="000000"/>
              </a:solidFill>
              <a:latin typeface="Aptos Narrow"/>
            </a:rPr>
            <a:pPr/>
            <a:t> $73,619 </a:t>
          </a:fld>
          <a:endParaRPr lang="en-AU" sz="1100" b="1"/>
        </a:p>
      </xdr:txBody>
    </xdr:sp>
    <xdr:clientData/>
  </xdr:twoCellAnchor>
  <xdr:twoCellAnchor>
    <xdr:from>
      <xdr:col>11</xdr:col>
      <xdr:colOff>411480</xdr:colOff>
      <xdr:row>0</xdr:row>
      <xdr:rowOff>53340</xdr:rowOff>
    </xdr:from>
    <xdr:to>
      <xdr:col>14</xdr:col>
      <xdr:colOff>60960</xdr:colOff>
      <xdr:row>2</xdr:row>
      <xdr:rowOff>175260</xdr:rowOff>
    </xdr:to>
    <xdr:sp macro="" textlink="Calculations!$G$6">
      <xdr:nvSpPr>
        <xdr:cNvPr id="15" name="TextBox 14">
          <a:extLst>
            <a:ext uri="{FF2B5EF4-FFF2-40B4-BE49-F238E27FC236}">
              <a16:creationId xmlns:a16="http://schemas.microsoft.com/office/drawing/2014/main" id="{4008119C-6808-1297-ADF1-5A5621C118E0}"/>
            </a:ext>
          </a:extLst>
        </xdr:cNvPr>
        <xdr:cNvSpPr txBox="1"/>
      </xdr:nvSpPr>
      <xdr:spPr>
        <a:xfrm>
          <a:off x="7787640" y="53340"/>
          <a:ext cx="166116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953037B-C5AF-40ED-9F07-74EA8FB634FD}" type="TxLink">
            <a:rPr lang="en-US" sz="1200" b="1" i="0" u="none" strike="noStrike">
              <a:solidFill>
                <a:srgbClr val="000000"/>
              </a:solidFill>
              <a:latin typeface="Aptos Narrow"/>
            </a:rPr>
            <a:pPr/>
            <a:t> $150,000 </a:t>
          </a:fld>
          <a:endParaRPr lang="en-AU" sz="1100" b="1"/>
        </a:p>
      </xdr:txBody>
    </xdr:sp>
    <xdr:clientData/>
  </xdr:twoCellAnchor>
  <xdr:twoCellAnchor editAs="oneCell">
    <xdr:from>
      <xdr:col>0</xdr:col>
      <xdr:colOff>22860</xdr:colOff>
      <xdr:row>0</xdr:row>
      <xdr:rowOff>76200</xdr:rowOff>
    </xdr:from>
    <xdr:to>
      <xdr:col>1</xdr:col>
      <xdr:colOff>68580</xdr:colOff>
      <xdr:row>4</xdr:row>
      <xdr:rowOff>0</xdr:rowOff>
    </xdr:to>
    <xdr:pic>
      <xdr:nvPicPr>
        <xdr:cNvPr id="17" name="Graphic 16" descr="Cycle with people outline">
          <a:extLst>
            <a:ext uri="{FF2B5EF4-FFF2-40B4-BE49-F238E27FC236}">
              <a16:creationId xmlns:a16="http://schemas.microsoft.com/office/drawing/2014/main" id="{0D1B9E9B-119A-4370-9539-270DF69CC81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860" y="76200"/>
          <a:ext cx="716280" cy="716280"/>
        </a:xfrm>
        <a:prstGeom prst="rect">
          <a:avLst/>
        </a:prstGeom>
      </xdr:spPr>
    </xdr:pic>
    <xdr:clientData/>
  </xdr:twoCellAnchor>
  <xdr:twoCellAnchor>
    <xdr:from>
      <xdr:col>1</xdr:col>
      <xdr:colOff>15240</xdr:colOff>
      <xdr:row>7</xdr:row>
      <xdr:rowOff>38100</xdr:rowOff>
    </xdr:from>
    <xdr:to>
      <xdr:col>7</xdr:col>
      <xdr:colOff>563880</xdr:colOff>
      <xdr:row>18</xdr:row>
      <xdr:rowOff>99060</xdr:rowOff>
    </xdr:to>
    <xdr:graphicFrame macro="">
      <xdr:nvGraphicFramePr>
        <xdr:cNvPr id="18" name="Chart 17">
          <a:extLst>
            <a:ext uri="{FF2B5EF4-FFF2-40B4-BE49-F238E27FC236}">
              <a16:creationId xmlns:a16="http://schemas.microsoft.com/office/drawing/2014/main" id="{DAAF44FD-42D4-41D9-AB3F-099C5A2043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38100</xdr:colOff>
      <xdr:row>7</xdr:row>
      <xdr:rowOff>91440</xdr:rowOff>
    </xdr:from>
    <xdr:to>
      <xdr:col>14</xdr:col>
      <xdr:colOff>586740</xdr:colOff>
      <xdr:row>22</xdr:row>
      <xdr:rowOff>60960</xdr:rowOff>
    </xdr:to>
    <xdr:graphicFrame macro="">
      <xdr:nvGraphicFramePr>
        <xdr:cNvPr id="19" name="Chart 18">
          <a:extLst>
            <a:ext uri="{FF2B5EF4-FFF2-40B4-BE49-F238E27FC236}">
              <a16:creationId xmlns:a16="http://schemas.microsoft.com/office/drawing/2014/main" id="{F0EE2E6F-C86E-4C63-A27B-A12599867E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81162</xdr:colOff>
      <xdr:row>20</xdr:row>
      <xdr:rowOff>72478</xdr:rowOff>
    </xdr:from>
    <xdr:to>
      <xdr:col>12</xdr:col>
      <xdr:colOff>271662</xdr:colOff>
      <xdr:row>23</xdr:row>
      <xdr:rowOff>168348</xdr:rowOff>
    </xdr:to>
    <mc:AlternateContent xmlns:mc="http://schemas.openxmlformats.org/markup-compatibility/2006" xmlns:a14="http://schemas.microsoft.com/office/drawing/2010/main">
      <mc:Choice Requires="a14">
        <xdr:graphicFrame macro="">
          <xdr:nvGraphicFramePr>
            <xdr:cNvPr id="20" name="Department">
              <a:extLst>
                <a:ext uri="{FF2B5EF4-FFF2-40B4-BE49-F238E27FC236}">
                  <a16:creationId xmlns:a16="http://schemas.microsoft.com/office/drawing/2014/main" id="{C29AA5E7-012F-2FD0-415A-F499B745859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1162" y="3991335"/>
              <a:ext cx="8942614" cy="683699"/>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274320</xdr:colOff>
      <xdr:row>26</xdr:row>
      <xdr:rowOff>121920</xdr:rowOff>
    </xdr:from>
    <xdr:to>
      <xdr:col>12</xdr:col>
      <xdr:colOff>152400</xdr:colOff>
      <xdr:row>40</xdr:row>
      <xdr:rowOff>91440</xdr:rowOff>
    </xdr:to>
    <mc:AlternateContent xmlns:mc="http://schemas.openxmlformats.org/markup-compatibility/2006">
      <mc:Choice xmlns:cx4="http://schemas.microsoft.com/office/drawing/2016/5/10/chartex" Requires="cx4">
        <xdr:graphicFrame macro="">
          <xdr:nvGraphicFramePr>
            <xdr:cNvPr id="21" name="Chart 20">
              <a:extLst>
                <a:ext uri="{FF2B5EF4-FFF2-40B4-BE49-F238E27FC236}">
                  <a16:creationId xmlns:a16="http://schemas.microsoft.com/office/drawing/2014/main" id="{CACB03A5-C173-4FF3-AB6E-8191FAAAE52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297680" y="5273040"/>
              <a:ext cx="4572000" cy="2743200"/>
            </a:xfrm>
            <a:prstGeom prst="rect">
              <a:avLst/>
            </a:prstGeom>
            <a:solidFill>
              <a:prstClr val="white"/>
            </a:solidFill>
            <a:ln w="1">
              <a:solidFill>
                <a:prstClr val="green"/>
              </a:solidFill>
            </a:ln>
          </xdr:spPr>
          <xdr:txBody>
            <a:bodyPr vertOverflow="clip" horzOverflow="clip"/>
            <a:lstStyle/>
            <a:p>
              <a:r>
                <a:rPr lang="en-AU"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phen Barratt" refreshedDate="46072.538402314814" createdVersion="8" refreshedVersion="8" minRefreshableVersion="3" recordCount="321" xr:uid="{1E4B4B53-62CA-4CCB-8251-A9B2DBEBD657}">
  <cacheSource type="worksheet">
    <worksheetSource name="TEmployees"/>
  </cacheSource>
  <cacheFields count="9">
    <cacheField name="Cost Centre" numFmtId="0">
      <sharedItems/>
    </cacheField>
    <cacheField name="Employee ID" numFmtId="0">
      <sharedItems containsSemiMixedTypes="0" containsString="0" containsNumber="1" containsInteger="1" minValue="10031" maxValue="99970" count="321">
        <n v="78557"/>
        <n v="19288"/>
        <n v="49671"/>
        <n v="62844"/>
        <n v="53059"/>
        <n v="49220"/>
        <n v="64358"/>
        <n v="24241"/>
        <n v="23028"/>
        <n v="83509"/>
        <n v="73068"/>
        <n v="72128"/>
        <n v="54181"/>
        <n v="55043"/>
        <n v="26295"/>
        <n v="72794"/>
        <n v="25205"/>
        <n v="75239"/>
        <n v="65906"/>
        <n v="14957"/>
        <n v="49571"/>
        <n v="53919"/>
        <n v="30403"/>
        <n v="31830"/>
        <n v="92148"/>
        <n v="83988"/>
        <n v="59226"/>
        <n v="93739"/>
        <n v="21393"/>
        <n v="18629"/>
        <n v="21097"/>
        <n v="35957"/>
        <n v="38974"/>
        <n v="18015"/>
        <n v="60438"/>
        <n v="11029"/>
        <n v="22855"/>
        <n v="61617"/>
        <n v="82938"/>
        <n v="78026"/>
        <n v="47987"/>
        <n v="68791"/>
        <n v="74044"/>
        <n v="86662"/>
        <n v="99037"/>
        <n v="38475"/>
        <n v="65448"/>
        <n v="20965"/>
        <n v="58277"/>
        <n v="38853"/>
        <n v="44198"/>
        <n v="86707"/>
        <n v="31834"/>
        <n v="66521"/>
        <n v="35158"/>
        <n v="56991"/>
        <n v="25074"/>
        <n v="18369"/>
        <n v="13620"/>
        <n v="78919"/>
        <n v="69193"/>
        <n v="98725"/>
        <n v="36435"/>
        <n v="25585"/>
        <n v="75154"/>
        <n v="62160"/>
        <n v="43617"/>
        <n v="37162"/>
        <n v="94016"/>
        <n v="15518"/>
        <n v="38297"/>
        <n v="91712"/>
        <n v="29182"/>
        <n v="23714"/>
        <n v="35948"/>
        <n v="70084"/>
        <n v="59549"/>
        <n v="57401"/>
        <n v="81616"/>
        <n v="29835"/>
        <n v="23729"/>
        <n v="88150"/>
        <n v="73950"/>
        <n v="29451"/>
        <n v="83912"/>
        <n v="63203"/>
        <n v="93671"/>
        <n v="99119"/>
        <n v="65474"/>
        <n v="78318"/>
        <n v="74933"/>
        <n v="99039"/>
        <n v="52265"/>
        <n v="75331"/>
        <n v="75358"/>
        <n v="93239"/>
        <n v="97827"/>
        <n v="36475"/>
        <n v="81147"/>
        <n v="89923"/>
        <n v="38675"/>
        <n v="11272"/>
        <n v="54593"/>
        <n v="51714"/>
        <n v="52182"/>
        <n v="14648"/>
        <n v="78826"/>
        <n v="29446"/>
        <n v="43670"/>
        <n v="88982"/>
        <n v="30434"/>
        <n v="59676"/>
        <n v="86408"/>
        <n v="48585"/>
        <n v="71660"/>
        <n v="18697"/>
        <n v="21094"/>
        <n v="77702"/>
        <n v="15166"/>
        <n v="39503"/>
        <n v="27104"/>
        <n v="15325"/>
        <n v="49380"/>
        <n v="12003"/>
        <n v="68797"/>
        <n v="53331"/>
        <n v="31061"/>
        <n v="29506"/>
        <n v="95994"/>
        <n v="70389"/>
        <n v="58669"/>
        <n v="76191"/>
        <n v="60099"/>
        <n v="79442"/>
        <n v="75854"/>
        <n v="14406"/>
        <n v="85218"/>
        <n v="21881"/>
        <n v="98941"/>
        <n v="77895"/>
        <n v="88661"/>
        <n v="20008"/>
        <n v="65884"/>
        <n v="37014"/>
        <n v="47966"/>
        <n v="80178"/>
        <n v="88461"/>
        <n v="64767"/>
        <n v="73204"/>
        <n v="60930"/>
        <n v="89617"/>
        <n v="86859"/>
        <n v="40614"/>
        <n v="12684"/>
        <n v="96112"/>
        <n v="10031"/>
        <n v="33851"/>
        <n v="49641"/>
        <n v="76434"/>
        <n v="84745"/>
        <n v="43352"/>
        <n v="53605"/>
        <n v="18601"/>
        <n v="74685"/>
        <n v="44341"/>
        <n v="49689"/>
        <n v="63486"/>
        <n v="60352"/>
        <n v="60289"/>
        <n v="18160"/>
        <n v="31468"/>
        <n v="94015"/>
        <n v="26688"/>
        <n v="41319"/>
        <n v="47629"/>
        <n v="53781"/>
        <n v="17278"/>
        <n v="14709"/>
        <n v="73088"/>
        <n v="64770"/>
        <n v="28468"/>
        <n v="74465"/>
        <n v="88900"/>
        <n v="20698"/>
        <n v="98282"/>
        <n v="29840"/>
        <n v="56238"/>
        <n v="63888"/>
        <n v="14611"/>
        <n v="90186"/>
        <n v="71116"/>
        <n v="60683"/>
        <n v="70146"/>
        <n v="16164"/>
        <n v="23301"/>
        <n v="71720"/>
        <n v="12651"/>
        <n v="14255"/>
        <n v="88420"/>
        <n v="90923"/>
        <n v="27393"/>
        <n v="92570"/>
        <n v="52455"/>
        <n v="23800"/>
        <n v="81977"/>
        <n v="95064"/>
        <n v="55438"/>
        <n v="35555"/>
        <n v="60254"/>
        <n v="74267"/>
        <n v="24548"/>
        <n v="17885"/>
        <n v="89969"/>
        <n v="71235"/>
        <n v="90521"/>
        <n v="92878"/>
        <n v="54284"/>
        <n v="95258"/>
        <n v="99460"/>
        <n v="91531"/>
        <n v="48847"/>
        <n v="26660"/>
        <n v="60809"/>
        <n v="48509"/>
        <n v="99260"/>
        <n v="25932"/>
        <n v="78027"/>
        <n v="34789"/>
        <n v="15004"/>
        <n v="61383"/>
        <n v="68271"/>
        <n v="58703"/>
        <n v="34966"/>
        <n v="69699"/>
        <n v="56734"/>
        <n v="92839"/>
        <n v="19874"/>
        <n v="15851"/>
        <n v="15240"/>
        <n v="73722"/>
        <n v="43473"/>
        <n v="13493"/>
        <n v="78165"/>
        <n v="97360"/>
        <n v="84613"/>
        <n v="84946"/>
        <n v="38308"/>
        <n v="40101"/>
        <n v="22252"/>
        <n v="92238"/>
        <n v="75852"/>
        <n v="78643"/>
        <n v="65064"/>
        <n v="76467"/>
        <n v="50017"/>
        <n v="24869"/>
        <n v="29095"/>
        <n v="65832"/>
        <n v="84188"/>
        <n v="65319"/>
        <n v="21014"/>
        <n v="23731"/>
        <n v="64478"/>
        <n v="18247"/>
        <n v="23003"/>
        <n v="64416"/>
        <n v="30467"/>
        <n v="14024"/>
        <n v="68552"/>
        <n v="66503"/>
        <n v="99970"/>
        <n v="64659"/>
        <n v="13949"/>
        <n v="75093"/>
        <n v="52532"/>
        <n v="43106"/>
        <n v="20294"/>
        <n v="56203"/>
        <n v="19218"/>
        <n v="25909"/>
        <n v="57088"/>
        <n v="13850"/>
        <n v="55278"/>
        <n v="55597"/>
        <n v="33318"/>
        <n v="11306"/>
        <n v="40211"/>
        <n v="57946"/>
        <n v="19242"/>
        <n v="88196"/>
        <n v="28781"/>
        <n v="37260"/>
        <n v="10423"/>
        <n v="36842"/>
        <n v="96378"/>
        <n v="98310"/>
        <n v="26146"/>
        <n v="10941"/>
        <n v="48438"/>
        <n v="58382"/>
        <n v="99001"/>
        <n v="99002"/>
        <n v="99003"/>
        <n v="99004"/>
        <n v="99005"/>
        <n v="99006"/>
        <n v="99007"/>
        <n v="99008"/>
        <n v="99009"/>
        <n v="99010"/>
        <n v="99011"/>
        <n v="99012"/>
        <n v="99013"/>
        <n v="99014"/>
        <n v="99015"/>
        <n v="99016"/>
        <n v="99017"/>
        <n v="99018"/>
        <n v="99019"/>
        <n v="99020"/>
        <n v="99021"/>
      </sharedItems>
    </cacheField>
    <cacheField name="Name" numFmtId="0">
      <sharedItems count="320">
        <s v="Tasha Hall"/>
        <s v="Jesse Woods"/>
        <s v="Deanna Johnson"/>
        <s v="George Woodward"/>
        <s v="Shawn Tran"/>
        <s v="Kevin Miller"/>
        <s v="Elizabeth Bennett"/>
        <s v="Calvin Walker"/>
        <s v="Cynthia White"/>
        <s v="Matthew Callahan"/>
        <s v="Jennifer Park"/>
        <s v="Edwin Butler"/>
        <s v="Leslie Evans"/>
        <s v="David Chen"/>
        <s v="Kendra Bennett"/>
        <s v="Victor Valenzuela"/>
        <s v="Jacob Farley"/>
        <s v="Cody Rodriguez"/>
        <s v="Larry Moore"/>
        <s v="Tanya Lopez"/>
        <s v="Christopher Chung"/>
        <s v="Joseph Kelly"/>
        <s v="Angelica Fischer"/>
        <s v="Ronald Cole"/>
        <s v="Daniel Wilson"/>
        <s v="Elizabeth Lynch"/>
        <s v="Paul Davis"/>
        <s v="Joshua Sullivan"/>
        <s v="Devin Barnett"/>
        <s v="James Zamora"/>
        <s v="Jill Francis"/>
        <s v="Seth Chambers"/>
        <s v="Bradley Jones"/>
        <s v="Joseph Wilson"/>
        <s v="Stephanie Gill"/>
        <s v="Scott Campbell"/>
        <s v="Joseph Clark"/>
        <s v="Tyler Stephens"/>
        <s v="Sue Ramirez"/>
        <s v="Keith Taylor"/>
        <s v="Bryan Morales"/>
        <s v="Justin Evans"/>
        <s v="Natalie Robinson"/>
        <s v="Jonathan Vasquez"/>
        <s v="Charles Simpson"/>
        <s v="Cindy Kelly"/>
        <s v="Willie Mathis"/>
        <s v="Melissa Miller"/>
        <s v="Tammy Foster"/>
        <s v="Brian Smith"/>
        <s v="Martin Carter"/>
        <s v="Brenda Berry"/>
        <s v="Jeffrey Moran"/>
        <s v="Gary Wong"/>
        <s v="Brittany Fitzpatrick"/>
        <s v="Eugene Clark"/>
        <s v="Gregory Lucero"/>
        <s v="John Blair"/>
        <s v="Jessica Harris"/>
        <s v="Susan Johnson"/>
        <s v="Shelby Cox"/>
        <s v="Megan Hall"/>
        <s v="Brandon Melton"/>
        <s v="Patricia Andrade"/>
        <s v="Anthony Terry"/>
        <s v="Mariah Payne"/>
        <s v="Jessica Gibson"/>
        <s v="John Rogers"/>
        <s v="Anthony Bailey"/>
        <s v="Adam Brown"/>
        <s v="Daniel Franklin"/>
        <s v="Connie Lee"/>
        <s v="Lisa Miller"/>
        <s v="Joshua Barry"/>
        <s v="Joseph Lee"/>
        <s v="Sergio Reed"/>
        <s v="Danielle Daniel"/>
        <s v="Jose Cruz"/>
        <s v="David Torres"/>
        <s v="Alexandra Simpson"/>
        <s v="Thomas Jenkins"/>
        <s v="Jeremiah Miller II"/>
        <s v="Brittany Henson"/>
        <s v="Lonnie Meyers"/>
        <s v="Stacie Foster"/>
        <s v="Danielle Robinson"/>
        <s v="Diana Bell"/>
        <s v="Ashley Lam"/>
        <s v="Michelle Waters"/>
        <s v="Julia Walters"/>
        <s v="Alan Mendez"/>
        <s v="Carrie Perry"/>
        <s v="Shawn Osborn"/>
        <s v="Joseph Patterson"/>
        <s v="James Nelson"/>
        <s v="Krystal Hall"/>
        <s v="Kimberly Campbell"/>
        <s v="Stephanie Brown"/>
        <s v="Garrett Brooks"/>
        <s v="Mr. Chad Smith"/>
        <s v="Holly Walters"/>
        <s v="Sherri Moore"/>
        <s v="William Taylor"/>
        <s v="Thomas Crawford"/>
        <s v="Tracy Young"/>
        <s v="David Cruz"/>
        <s v="Brandi Jimenez"/>
        <s v="Lisa Johnson"/>
        <s v="Katherine Parker"/>
        <s v="Kristi Martin"/>
        <s v="Rhonda Mclaughlin"/>
        <s v="Michele Miller"/>
        <s v="James Lee"/>
        <s v="Eddie Acevedo"/>
        <s v="Ethan Burgess"/>
        <s v="Scott Barnett"/>
        <s v="Courtney Cooper"/>
        <s v="Alan Berry"/>
        <s v="Mark Gomez"/>
        <s v="Antonio Allen Jr."/>
        <s v="Erin Nicholson"/>
        <s v="Matthew Taylor"/>
        <s v="Joann Thomas"/>
        <s v="Matthew Chandler"/>
        <s v="Jennifer Smith"/>
        <s v="Kimberly Ballard"/>
        <s v="Olivia Cunningham"/>
        <s v="Troy Jackson"/>
        <s v="Lisa Stanley"/>
        <s v="Ronald Thompson"/>
        <s v="Tina Kemp"/>
        <s v="Sara Hoffman"/>
        <s v="Jessica Hancock"/>
        <s v="Mark Mckinney"/>
        <s v="Amanda Peterson"/>
        <s v="Jamie Garrett"/>
        <s v="Kathleen Howard"/>
        <s v="Judith Romero"/>
        <s v="Paul Morgan"/>
        <s v="Terry Smith"/>
        <s v="Donna Harrison"/>
        <s v="Joseph Arnold"/>
        <s v="Amanda Foster"/>
        <s v="Gregory Williams"/>
        <s v="Zachary King"/>
        <s v="Michele Hickman"/>
        <s v="Pamela Farmer"/>
        <s v="Ruben King"/>
        <s v="William Ballard"/>
        <s v="Dana Craig"/>
        <s v="Sheri Martin"/>
        <s v="Brittany Mathis"/>
        <s v="Lauren Williams"/>
        <s v="Gregory Carter"/>
        <s v="Johnny Powell"/>
        <s v="Christopher Kramer"/>
        <s v="Jessica Peterson"/>
        <s v="Nathan Browning"/>
        <s v="Mary Scott"/>
        <s v="Andrea Boyle"/>
        <s v="Ronald Moreno"/>
        <s v="Mark Riley"/>
        <s v="Lynn Daniels"/>
        <s v="Jeffrey Collins"/>
        <s v="Richard Weiss"/>
        <s v="David Rose"/>
        <s v="Gordon Thornton"/>
        <s v="Charles Smith"/>
        <s v="Rachel Miles"/>
        <s v="Janet Marshall"/>
        <s v="Thomas Fields"/>
        <s v="Paige Yoder"/>
        <s v="William Moore"/>
        <s v="Henry Graves"/>
        <s v="Nicolas Duncan"/>
        <s v="Cody Chang"/>
        <s v="Kenneth Young"/>
        <s v="Sharon Jacobson"/>
        <s v="Ashlee Lopez"/>
        <s v="Austin Simmons"/>
        <s v="Dillon Kim"/>
        <s v="Heather Murphy"/>
        <s v="Johnathan Farmer"/>
        <s v="James Graham"/>
        <s v="Megan Terry"/>
        <s v="Lauren Gomez"/>
        <s v="Kristy Ramirez"/>
        <s v="Jennifer Mccall"/>
        <s v="Brad Hancock"/>
        <s v="Benjamin Love"/>
        <s v="Kaitlin Edwards"/>
        <s v="Tiffany Johnson"/>
        <s v="Calvin Haney"/>
        <s v="Jennifer Thomas"/>
        <s v="Sean Dixon"/>
        <s v="Steven Lozano"/>
        <s v="Michelle Cummings"/>
        <s v="Kelly Colon"/>
        <s v="Melissa Hughes"/>
        <s v="Robert Hess"/>
        <s v="Christopher Baker"/>
        <s v="Erin Erickson"/>
        <s v="Kelly Bryant"/>
        <s v="Nicole Cole"/>
        <s v="Mark Thompson"/>
        <s v="Stephanie Stewart"/>
        <s v="Cheryl Gibbs"/>
        <s v="Robin Boyd"/>
        <s v="Susan Taylor"/>
        <s v="Amy Miller"/>
        <s v="April Hampton"/>
        <s v="Lawrence Hudson"/>
        <s v="James Cox"/>
        <s v="Mallory Taylor"/>
        <s v="Catherine Martinez"/>
        <s v="Lawrence Williams"/>
        <s v="Melissa Robles"/>
        <s v="Lindsay Bauer"/>
        <s v="Thomas Mcintosh"/>
        <s v="Jeremiah Munoz"/>
        <s v="Dawn Collins"/>
        <s v="Jody White"/>
        <s v="Dennis Avery"/>
        <s v="Brent Johnson"/>
        <s v="Jared Vaughn"/>
        <s v="Erica Gibbs"/>
        <s v="Melissa Alvarez"/>
        <s v="Kimberly Morales"/>
        <s v="Tammy Johnson"/>
        <s v="Sara Miller"/>
        <s v="Brett Donaldson"/>
        <s v="Jose Ballard"/>
        <s v="April Morgan"/>
        <s v="Melissa Martin"/>
        <s v="Caitlin Frazier"/>
        <s v="Taylor Murphy"/>
        <s v="Tyler Garrett"/>
        <s v="Darrell Reid"/>
        <s v="Vincent Bell"/>
        <s v="Jason Cox"/>
        <s v="Jasmine Townsend"/>
        <s v="Kevin Mcdaniel"/>
        <s v="Carolyn Hernandez"/>
        <s v="Frank Smith"/>
        <s v="Timothy Berry"/>
        <s v="Christian Buchanan"/>
        <s v="Jennifer Bradley"/>
        <s v="Michelle Nielsen"/>
        <s v="Daniel Morales"/>
        <s v="Keith Bell"/>
        <s v="Steven Sanchez"/>
        <s v="Thomas Allen"/>
        <s v="Benjamin King"/>
        <s v="Joseph Daniels"/>
        <s v="Penny Mcdowell"/>
        <s v="Levi Dillon"/>
        <s v="Mark Ferguson"/>
        <s v="Brianna Long"/>
        <s v="Monica Bray"/>
        <s v="Brian Murray"/>
        <s v="Christopher Wells"/>
        <s v="Thomas Hancock"/>
        <s v="Ashley Richardson"/>
        <s v="Hunter Kennedy"/>
        <s v="Amy Wiley"/>
        <s v="Nathaniel Nguyen"/>
        <s v="Andrew Arnold"/>
        <s v="Jason Brooks"/>
        <s v="Chad Rodriguez"/>
        <s v="Andre Ray"/>
        <s v="Martin Mann"/>
        <s v="Jeffery Barber"/>
        <s v="Christian Martin"/>
        <s v="Chad Snyder"/>
        <s v="Lisa Roberts"/>
        <s v="Melinda Lang"/>
        <s v="Sara Ayala"/>
        <s v="Christopher Burton"/>
        <s v="Kim Thomas"/>
        <s v="Patrick Peters"/>
        <s v="Thomas Gray"/>
        <s v="John Torres"/>
        <s v="Jared Davis"/>
        <s v="Brittany Silva"/>
        <s v="Veronica Keith"/>
        <s v="Richard Wolfe"/>
        <s v="Lindsey Palmer"/>
        <s v="Nicholas Jackson"/>
        <s v="Andrew Wilson"/>
        <s v="Nathan Flores"/>
        <s v="Jackie Horton"/>
        <s v="Robin Perez"/>
        <s v="Juan Kline"/>
        <s v="Katie Blackwell"/>
        <s v="Mason Jackson"/>
        <s v="Jennifer Guerrero"/>
        <s v="Deborah Matthews"/>
        <s v="Carolyn Alexander"/>
        <s v="James Lang"/>
        <s v="John Dove"/>
        <s v="Jane Smithers"/>
        <s v="Alice Johnson"/>
        <s v="Bob Brown"/>
        <s v="Charlie Davis"/>
        <s v="Dana Evans"/>
        <s v="Eve Wilson"/>
        <s v="Frank Harris"/>
        <s v="Grace Hall"/>
        <s v="Harry Clark"/>
        <s v="Irene Lewis"/>
        <s v="Jack Martinez"/>
        <s v="Karen White"/>
        <s v="Larry Young"/>
        <s v="Mary King"/>
        <s v="Nick Allen"/>
        <s v="Olivia Scott"/>
        <s v="Paul Turner"/>
        <s v="Quinn Parker"/>
        <s v="Rita Cooper"/>
        <s v="Stephen"/>
      </sharedItems>
    </cacheField>
    <cacheField name="Department" numFmtId="0">
      <sharedItems count="6">
        <s v="Operations"/>
        <s v="Finance"/>
        <s v="Sales"/>
        <s v="Marketing"/>
        <s v="HR"/>
        <s v="IT"/>
      </sharedItems>
    </cacheField>
    <cacheField name="Salary" numFmtId="0">
      <sharedItems containsSemiMixedTypes="0" containsString="0" containsNumber="1" minValue="30165.88" maxValue="150000"/>
    </cacheField>
    <cacheField name="Start Date" numFmtId="14">
      <sharedItems containsSemiMixedTypes="0" containsNonDate="0" containsDate="1" containsString="0" minDate="2014-06-01T00:00:00" maxDate="2024-08-17T00:00:00"/>
    </cacheField>
    <cacheField name="FTE" numFmtId="0">
      <sharedItems containsSemiMixedTypes="0" containsString="0" containsNumber="1" minValue="0.5" maxValue="2"/>
    </cacheField>
    <cacheField name="Employment type" numFmtId="0">
      <sharedItems count="3">
        <s v="Fixed Term"/>
        <s v="Permanent"/>
        <s v="Temporary"/>
      </sharedItems>
    </cacheField>
    <cacheField name="State" numFmtId="0">
      <sharedItems count="12">
        <s v="California"/>
        <s v="Texas"/>
        <s v="Washington"/>
        <s v="New York"/>
        <s v="Oregon"/>
        <s v="Nevada"/>
        <s v="Wisconsin"/>
        <s v="Illinois"/>
        <s v="Missouri"/>
        <s v="Colorado"/>
        <s v="Wyoming"/>
        <s v="Florida"/>
      </sharedItems>
    </cacheField>
  </cacheFields>
  <extLst>
    <ext xmlns:x14="http://schemas.microsoft.com/office/spreadsheetml/2009/9/main" uri="{725AE2AE-9491-48be-B2B4-4EB974FC3084}">
      <x14:pivotCacheDefinition pivotCacheId="15171204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1">
  <r>
    <s v="XEX"/>
    <x v="0"/>
    <x v="0"/>
    <x v="0"/>
    <n v="114865.23"/>
    <d v="2021-04-20T00:00:00"/>
    <n v="1"/>
    <x v="0"/>
    <x v="0"/>
  </r>
  <r>
    <s v="ARK"/>
    <x v="1"/>
    <x v="1"/>
    <x v="1"/>
    <n v="57252.44"/>
    <d v="2020-02-06T00:00:00"/>
    <n v="0.75"/>
    <x v="1"/>
    <x v="1"/>
  </r>
  <r>
    <s v="BKI"/>
    <x v="2"/>
    <x v="2"/>
    <x v="2"/>
    <n v="66726.59"/>
    <d v="2018-05-17T00:00:00"/>
    <n v="0.75"/>
    <x v="1"/>
    <x v="0"/>
  </r>
  <r>
    <s v="QGV"/>
    <x v="3"/>
    <x v="3"/>
    <x v="3"/>
    <n v="102903.38"/>
    <d v="2023-01-12T00:00:00"/>
    <n v="1"/>
    <x v="0"/>
    <x v="0"/>
  </r>
  <r>
    <s v="VWJ"/>
    <x v="4"/>
    <x v="4"/>
    <x v="2"/>
    <n v="35603.29"/>
    <d v="2022-02-27T00:00:00"/>
    <n v="1"/>
    <x v="1"/>
    <x v="0"/>
  </r>
  <r>
    <s v="EZC"/>
    <x v="5"/>
    <x v="5"/>
    <x v="3"/>
    <n v="87688.639999999999"/>
    <d v="2015-01-27T00:00:00"/>
    <n v="0.75"/>
    <x v="1"/>
    <x v="0"/>
  </r>
  <r>
    <s v="BKI"/>
    <x v="6"/>
    <x v="6"/>
    <x v="3"/>
    <n v="41458.870000000003"/>
    <d v="2022-07-29T00:00:00"/>
    <n v="0.5"/>
    <x v="0"/>
    <x v="0"/>
  </r>
  <r>
    <s v="QGV"/>
    <x v="7"/>
    <x v="7"/>
    <x v="4"/>
    <n v="55837.95"/>
    <d v="2016-02-21T00:00:00"/>
    <n v="0.75"/>
    <x v="1"/>
    <x v="0"/>
  </r>
  <r>
    <s v="ARK"/>
    <x v="8"/>
    <x v="8"/>
    <x v="4"/>
    <n v="104694.66"/>
    <d v="2018-12-24T00:00:00"/>
    <n v="1"/>
    <x v="1"/>
    <x v="0"/>
  </r>
  <r>
    <s v="ROG"/>
    <x v="9"/>
    <x v="9"/>
    <x v="2"/>
    <n v="34997.43"/>
    <d v="2023-01-16T00:00:00"/>
    <n v="1"/>
    <x v="2"/>
    <x v="0"/>
  </r>
  <r>
    <s v="VWJ"/>
    <x v="10"/>
    <x v="10"/>
    <x v="5"/>
    <n v="33234.050000000003"/>
    <d v="2022-10-01T00:00:00"/>
    <n v="0.5"/>
    <x v="1"/>
    <x v="0"/>
  </r>
  <r>
    <s v="SSV"/>
    <x v="11"/>
    <x v="11"/>
    <x v="5"/>
    <n v="67607.94"/>
    <d v="2023-10-12T00:00:00"/>
    <n v="0.5"/>
    <x v="1"/>
    <x v="1"/>
  </r>
  <r>
    <s v="ARK"/>
    <x v="12"/>
    <x v="12"/>
    <x v="2"/>
    <n v="74264.789999999994"/>
    <d v="2021-02-10T00:00:00"/>
    <n v="0.75"/>
    <x v="1"/>
    <x v="2"/>
  </r>
  <r>
    <s v="BKI"/>
    <x v="13"/>
    <x v="13"/>
    <x v="4"/>
    <n v="107699.27"/>
    <d v="2022-06-14T00:00:00"/>
    <n v="1"/>
    <x v="0"/>
    <x v="0"/>
  </r>
  <r>
    <s v="SSV"/>
    <x v="14"/>
    <x v="14"/>
    <x v="2"/>
    <n v="94546.99"/>
    <d v="2018-12-03T00:00:00"/>
    <n v="0.5"/>
    <x v="1"/>
    <x v="1"/>
  </r>
  <r>
    <s v="VWJ"/>
    <x v="15"/>
    <x v="15"/>
    <x v="1"/>
    <n v="90618.94"/>
    <d v="2017-06-27T00:00:00"/>
    <n v="0.5"/>
    <x v="1"/>
    <x v="0"/>
  </r>
  <r>
    <s v="ROG"/>
    <x v="16"/>
    <x v="16"/>
    <x v="3"/>
    <n v="43623.64"/>
    <d v="2018-04-26T00:00:00"/>
    <n v="1"/>
    <x v="1"/>
    <x v="2"/>
  </r>
  <r>
    <s v="QGV"/>
    <x v="17"/>
    <x v="17"/>
    <x v="0"/>
    <n v="118803.53"/>
    <d v="2023-08-12T00:00:00"/>
    <n v="1"/>
    <x v="0"/>
    <x v="0"/>
  </r>
  <r>
    <s v="HMN"/>
    <x v="18"/>
    <x v="18"/>
    <x v="4"/>
    <n v="67002.62"/>
    <d v="2020-08-09T00:00:00"/>
    <n v="0.75"/>
    <x v="1"/>
    <x v="0"/>
  </r>
  <r>
    <s v="SSV"/>
    <x v="19"/>
    <x v="19"/>
    <x v="0"/>
    <n v="85059.38"/>
    <d v="2017-02-14T00:00:00"/>
    <n v="1"/>
    <x v="1"/>
    <x v="0"/>
  </r>
  <r>
    <s v="QGV"/>
    <x v="20"/>
    <x v="20"/>
    <x v="1"/>
    <n v="64801.47"/>
    <d v="2019-07-22T00:00:00"/>
    <n v="0.5"/>
    <x v="1"/>
    <x v="0"/>
  </r>
  <r>
    <s v="SSV"/>
    <x v="21"/>
    <x v="21"/>
    <x v="4"/>
    <n v="34232.959999999999"/>
    <d v="2016-11-07T00:00:00"/>
    <n v="0.5"/>
    <x v="1"/>
    <x v="0"/>
  </r>
  <r>
    <s v="VWJ"/>
    <x v="22"/>
    <x v="22"/>
    <x v="2"/>
    <n v="72380.03"/>
    <d v="2022-03-08T00:00:00"/>
    <n v="1"/>
    <x v="0"/>
    <x v="0"/>
  </r>
  <r>
    <s v="EZC"/>
    <x v="23"/>
    <x v="23"/>
    <x v="0"/>
    <n v="43623.1"/>
    <d v="2015-07-31T00:00:00"/>
    <n v="1"/>
    <x v="1"/>
    <x v="0"/>
  </r>
  <r>
    <s v="BKI"/>
    <x v="24"/>
    <x v="24"/>
    <x v="2"/>
    <n v="32921.89"/>
    <d v="2015-07-29T00:00:00"/>
    <n v="0.5"/>
    <x v="1"/>
    <x v="0"/>
  </r>
  <r>
    <s v="ARK"/>
    <x v="25"/>
    <x v="25"/>
    <x v="5"/>
    <n v="85566.04"/>
    <d v="2022-07-17T00:00:00"/>
    <n v="1"/>
    <x v="1"/>
    <x v="0"/>
  </r>
  <r>
    <s v="EZC"/>
    <x v="26"/>
    <x v="26"/>
    <x v="4"/>
    <n v="86696.97"/>
    <d v="2021-02-05T00:00:00"/>
    <n v="1"/>
    <x v="1"/>
    <x v="1"/>
  </r>
  <r>
    <s v="SSV"/>
    <x v="27"/>
    <x v="27"/>
    <x v="1"/>
    <n v="39476.35"/>
    <d v="2024-01-15T00:00:00"/>
    <n v="0.5"/>
    <x v="0"/>
    <x v="3"/>
  </r>
  <r>
    <s v="SSV"/>
    <x v="28"/>
    <x v="28"/>
    <x v="4"/>
    <n v="79422.94"/>
    <d v="2021-05-20T00:00:00"/>
    <n v="0.75"/>
    <x v="1"/>
    <x v="4"/>
  </r>
  <r>
    <s v="EZC"/>
    <x v="29"/>
    <x v="29"/>
    <x v="0"/>
    <n v="61200.12"/>
    <d v="2023-11-14T00:00:00"/>
    <n v="0.75"/>
    <x v="0"/>
    <x v="1"/>
  </r>
  <r>
    <s v="SSV"/>
    <x v="30"/>
    <x v="30"/>
    <x v="4"/>
    <n v="64507.27"/>
    <d v="2015-12-24T00:00:00"/>
    <n v="1"/>
    <x v="1"/>
    <x v="3"/>
  </r>
  <r>
    <s v="SSV"/>
    <x v="31"/>
    <x v="31"/>
    <x v="0"/>
    <n v="99877.79"/>
    <d v="2018-12-04T00:00:00"/>
    <n v="0.5"/>
    <x v="1"/>
    <x v="0"/>
  </r>
  <r>
    <s v="EZC"/>
    <x v="32"/>
    <x v="32"/>
    <x v="3"/>
    <n v="74128.77"/>
    <d v="2022-08-12T00:00:00"/>
    <n v="0.5"/>
    <x v="0"/>
    <x v="0"/>
  </r>
  <r>
    <s v="ROG"/>
    <x v="33"/>
    <x v="33"/>
    <x v="3"/>
    <n v="109314.9"/>
    <d v="2018-04-25T00:00:00"/>
    <n v="1"/>
    <x v="1"/>
    <x v="0"/>
  </r>
  <r>
    <s v="ARK"/>
    <x v="34"/>
    <x v="34"/>
    <x v="4"/>
    <n v="84910.78"/>
    <d v="2016-04-17T00:00:00"/>
    <n v="1"/>
    <x v="1"/>
    <x v="0"/>
  </r>
  <r>
    <s v="SSV"/>
    <x v="35"/>
    <x v="35"/>
    <x v="1"/>
    <n v="72046.960000000006"/>
    <d v="2019-06-16T00:00:00"/>
    <n v="0.75"/>
    <x v="1"/>
    <x v="0"/>
  </r>
  <r>
    <s v="VWJ"/>
    <x v="36"/>
    <x v="36"/>
    <x v="4"/>
    <n v="86908.14"/>
    <d v="2016-10-22T00:00:00"/>
    <n v="0.5"/>
    <x v="1"/>
    <x v="0"/>
  </r>
  <r>
    <s v="ARK"/>
    <x v="37"/>
    <x v="37"/>
    <x v="3"/>
    <n v="60407.88"/>
    <d v="2020-07-10T00:00:00"/>
    <n v="1"/>
    <x v="1"/>
    <x v="0"/>
  </r>
  <r>
    <s v="BKI"/>
    <x v="38"/>
    <x v="38"/>
    <x v="0"/>
    <n v="41189.14"/>
    <d v="2016-01-05T00:00:00"/>
    <n v="0.75"/>
    <x v="1"/>
    <x v="0"/>
  </r>
  <r>
    <s v="ARK"/>
    <x v="39"/>
    <x v="39"/>
    <x v="1"/>
    <n v="91427.67"/>
    <d v="2016-10-07T00:00:00"/>
    <n v="0.75"/>
    <x v="1"/>
    <x v="0"/>
  </r>
  <r>
    <s v="HMN"/>
    <x v="40"/>
    <x v="40"/>
    <x v="5"/>
    <n v="85983.37"/>
    <d v="2015-05-17T00:00:00"/>
    <n v="1"/>
    <x v="1"/>
    <x v="0"/>
  </r>
  <r>
    <s v="QGV"/>
    <x v="41"/>
    <x v="41"/>
    <x v="5"/>
    <n v="100970.98"/>
    <d v="2016-09-26T00:00:00"/>
    <n v="1"/>
    <x v="1"/>
    <x v="0"/>
  </r>
  <r>
    <s v="BKI"/>
    <x v="42"/>
    <x v="42"/>
    <x v="0"/>
    <n v="41439.82"/>
    <d v="2024-05-21T00:00:00"/>
    <n v="1"/>
    <x v="2"/>
    <x v="0"/>
  </r>
  <r>
    <s v="ROG"/>
    <x v="43"/>
    <x v="43"/>
    <x v="1"/>
    <n v="112060.5"/>
    <d v="2023-11-30T00:00:00"/>
    <n v="1"/>
    <x v="0"/>
    <x v="5"/>
  </r>
  <r>
    <s v="ROG"/>
    <x v="44"/>
    <x v="44"/>
    <x v="4"/>
    <n v="101940.71"/>
    <d v="2017-10-14T00:00:00"/>
    <n v="1"/>
    <x v="1"/>
    <x v="2"/>
  </r>
  <r>
    <s v="QGV"/>
    <x v="45"/>
    <x v="45"/>
    <x v="2"/>
    <n v="112519.87"/>
    <d v="2014-07-12T00:00:00"/>
    <n v="1"/>
    <x v="1"/>
    <x v="1"/>
  </r>
  <r>
    <s v="EZC"/>
    <x v="46"/>
    <x v="46"/>
    <x v="2"/>
    <n v="108528.12"/>
    <d v="2014-12-21T00:00:00"/>
    <n v="1"/>
    <x v="1"/>
    <x v="0"/>
  </r>
  <r>
    <s v="XEX"/>
    <x v="47"/>
    <x v="47"/>
    <x v="0"/>
    <n v="91290.58"/>
    <d v="2021-04-15T00:00:00"/>
    <n v="1"/>
    <x v="1"/>
    <x v="2"/>
  </r>
  <r>
    <s v="EZC"/>
    <x v="48"/>
    <x v="48"/>
    <x v="4"/>
    <n v="102922.58"/>
    <d v="2023-11-28T00:00:00"/>
    <n v="1"/>
    <x v="0"/>
    <x v="2"/>
  </r>
  <r>
    <s v="BKI"/>
    <x v="49"/>
    <x v="49"/>
    <x v="4"/>
    <n v="76710.66"/>
    <d v="2022-10-01T00:00:00"/>
    <n v="0.75"/>
    <x v="1"/>
    <x v="0"/>
  </r>
  <r>
    <s v="SSV"/>
    <x v="50"/>
    <x v="50"/>
    <x v="5"/>
    <n v="100694.02"/>
    <d v="2016-03-25T00:00:00"/>
    <n v="1"/>
    <x v="1"/>
    <x v="2"/>
  </r>
  <r>
    <s v="QGV"/>
    <x v="51"/>
    <x v="51"/>
    <x v="2"/>
    <n v="47021.47"/>
    <d v="2022-06-15T00:00:00"/>
    <n v="1"/>
    <x v="0"/>
    <x v="1"/>
  </r>
  <r>
    <s v="QGV"/>
    <x v="52"/>
    <x v="52"/>
    <x v="4"/>
    <n v="100390.27"/>
    <d v="2023-12-05T00:00:00"/>
    <n v="1"/>
    <x v="0"/>
    <x v="2"/>
  </r>
  <r>
    <s v="QGV"/>
    <x v="53"/>
    <x v="53"/>
    <x v="5"/>
    <n v="70012.160000000003"/>
    <d v="2020-04-25T00:00:00"/>
    <n v="1"/>
    <x v="1"/>
    <x v="0"/>
  </r>
  <r>
    <s v="HMN"/>
    <x v="54"/>
    <x v="54"/>
    <x v="1"/>
    <n v="98095.46"/>
    <d v="2020-03-30T00:00:00"/>
    <n v="1"/>
    <x v="1"/>
    <x v="0"/>
  </r>
  <r>
    <s v="EZC"/>
    <x v="55"/>
    <x v="55"/>
    <x v="0"/>
    <n v="70992.320000000007"/>
    <d v="2016-01-26T00:00:00"/>
    <n v="1"/>
    <x v="1"/>
    <x v="0"/>
  </r>
  <r>
    <s v="XEX"/>
    <x v="56"/>
    <x v="56"/>
    <x v="3"/>
    <n v="101060.29"/>
    <d v="2014-06-30T00:00:00"/>
    <n v="1"/>
    <x v="1"/>
    <x v="0"/>
  </r>
  <r>
    <s v="SFB"/>
    <x v="57"/>
    <x v="57"/>
    <x v="0"/>
    <n v="36780.559999999998"/>
    <d v="2018-07-09T00:00:00"/>
    <n v="0.5"/>
    <x v="1"/>
    <x v="0"/>
  </r>
  <r>
    <s v="XEX"/>
    <x v="58"/>
    <x v="58"/>
    <x v="0"/>
    <n v="34017.68"/>
    <d v="2018-04-07T00:00:00"/>
    <n v="1"/>
    <x v="1"/>
    <x v="0"/>
  </r>
  <r>
    <s v="ROG"/>
    <x v="59"/>
    <x v="59"/>
    <x v="5"/>
    <n v="114086.06"/>
    <d v="2022-11-16T00:00:00"/>
    <n v="1"/>
    <x v="0"/>
    <x v="0"/>
  </r>
  <r>
    <s v="ARK"/>
    <x v="60"/>
    <x v="60"/>
    <x v="4"/>
    <n v="73754.86"/>
    <d v="2019-09-16T00:00:00"/>
    <n v="1"/>
    <x v="1"/>
    <x v="0"/>
  </r>
  <r>
    <s v="XEX"/>
    <x v="61"/>
    <x v="61"/>
    <x v="1"/>
    <n v="111096.43"/>
    <d v="2019-01-29T00:00:00"/>
    <n v="1"/>
    <x v="1"/>
    <x v="0"/>
  </r>
  <r>
    <s v="SFB"/>
    <x v="62"/>
    <x v="62"/>
    <x v="5"/>
    <n v="115030.49"/>
    <d v="2018-03-25T00:00:00"/>
    <n v="1"/>
    <x v="1"/>
    <x v="0"/>
  </r>
  <r>
    <s v="VWJ"/>
    <x v="63"/>
    <x v="63"/>
    <x v="4"/>
    <n v="89986"/>
    <d v="2014-07-24T00:00:00"/>
    <n v="0.75"/>
    <x v="1"/>
    <x v="1"/>
  </r>
  <r>
    <s v="SFB"/>
    <x v="64"/>
    <x v="64"/>
    <x v="4"/>
    <n v="81461.710000000006"/>
    <d v="2022-11-03T00:00:00"/>
    <n v="0.75"/>
    <x v="0"/>
    <x v="2"/>
  </r>
  <r>
    <s v="ROG"/>
    <x v="65"/>
    <x v="65"/>
    <x v="4"/>
    <n v="49438.14"/>
    <d v="2020-06-12T00:00:00"/>
    <n v="0.5"/>
    <x v="1"/>
    <x v="0"/>
  </r>
  <r>
    <s v="BKI"/>
    <x v="66"/>
    <x v="66"/>
    <x v="1"/>
    <n v="38412.86"/>
    <d v="2023-01-25T00:00:00"/>
    <n v="0.5"/>
    <x v="2"/>
    <x v="5"/>
  </r>
  <r>
    <s v="XEX"/>
    <x v="67"/>
    <x v="67"/>
    <x v="0"/>
    <n v="103745.48"/>
    <d v="2020-03-17T00:00:00"/>
    <n v="1"/>
    <x v="1"/>
    <x v="1"/>
  </r>
  <r>
    <s v="SSV"/>
    <x v="68"/>
    <x v="68"/>
    <x v="5"/>
    <n v="109989.49"/>
    <d v="2015-12-20T00:00:00"/>
    <n v="1"/>
    <x v="1"/>
    <x v="0"/>
  </r>
  <r>
    <s v="SSV"/>
    <x v="69"/>
    <x v="69"/>
    <x v="3"/>
    <n v="100145.61"/>
    <d v="2015-09-23T00:00:00"/>
    <n v="1"/>
    <x v="1"/>
    <x v="0"/>
  </r>
  <r>
    <s v="SSV"/>
    <x v="70"/>
    <x v="70"/>
    <x v="5"/>
    <n v="92865.22"/>
    <d v="2019-08-05T00:00:00"/>
    <n v="0.5"/>
    <x v="1"/>
    <x v="0"/>
  </r>
  <r>
    <s v="SFB"/>
    <x v="71"/>
    <x v="71"/>
    <x v="5"/>
    <n v="67810"/>
    <d v="2024-03-02T00:00:00"/>
    <n v="0.75"/>
    <x v="1"/>
    <x v="0"/>
  </r>
  <r>
    <s v="XEX"/>
    <x v="72"/>
    <x v="72"/>
    <x v="3"/>
    <n v="57478.04"/>
    <d v="2021-08-05T00:00:00"/>
    <n v="0.75"/>
    <x v="0"/>
    <x v="0"/>
  </r>
  <r>
    <s v="QGV"/>
    <x v="73"/>
    <x v="73"/>
    <x v="4"/>
    <n v="40210.04"/>
    <d v="2018-04-04T00:00:00"/>
    <n v="1"/>
    <x v="1"/>
    <x v="0"/>
  </r>
  <r>
    <s v="SFB"/>
    <x v="74"/>
    <x v="74"/>
    <x v="0"/>
    <n v="68337.320000000007"/>
    <d v="2020-08-29T00:00:00"/>
    <n v="0.75"/>
    <x v="1"/>
    <x v="0"/>
  </r>
  <r>
    <s v="EZC"/>
    <x v="75"/>
    <x v="75"/>
    <x v="0"/>
    <n v="80941.17"/>
    <d v="2020-11-22T00:00:00"/>
    <n v="0.75"/>
    <x v="1"/>
    <x v="0"/>
  </r>
  <r>
    <s v="SSV"/>
    <x v="76"/>
    <x v="76"/>
    <x v="3"/>
    <n v="113059.25"/>
    <d v="2016-11-18T00:00:00"/>
    <n v="1"/>
    <x v="1"/>
    <x v="0"/>
  </r>
  <r>
    <s v="QGV"/>
    <x v="77"/>
    <x v="77"/>
    <x v="0"/>
    <n v="114217.93"/>
    <d v="2018-05-08T00:00:00"/>
    <n v="1"/>
    <x v="1"/>
    <x v="0"/>
  </r>
  <r>
    <s v="BKI"/>
    <x v="78"/>
    <x v="78"/>
    <x v="2"/>
    <n v="67407.710000000006"/>
    <d v="2019-04-22T00:00:00"/>
    <n v="0.5"/>
    <x v="1"/>
    <x v="0"/>
  </r>
  <r>
    <s v="ARK"/>
    <x v="79"/>
    <x v="79"/>
    <x v="0"/>
    <n v="38928.99"/>
    <d v="2017-10-19T00:00:00"/>
    <n v="0.75"/>
    <x v="1"/>
    <x v="0"/>
  </r>
  <r>
    <s v="HMN"/>
    <x v="80"/>
    <x v="80"/>
    <x v="0"/>
    <n v="99643.69"/>
    <d v="2022-08-05T00:00:00"/>
    <n v="0.5"/>
    <x v="1"/>
    <x v="5"/>
  </r>
  <r>
    <s v="SFB"/>
    <x v="81"/>
    <x v="81"/>
    <x v="2"/>
    <n v="96085.14"/>
    <d v="2020-07-08T00:00:00"/>
    <n v="1"/>
    <x v="1"/>
    <x v="4"/>
  </r>
  <r>
    <s v="VWJ"/>
    <x v="82"/>
    <x v="82"/>
    <x v="0"/>
    <n v="32763.08"/>
    <d v="2019-03-22T00:00:00"/>
    <n v="0.75"/>
    <x v="1"/>
    <x v="0"/>
  </r>
  <r>
    <s v="QGV"/>
    <x v="83"/>
    <x v="83"/>
    <x v="2"/>
    <n v="70204.67"/>
    <d v="2020-12-12T00:00:00"/>
    <n v="0.75"/>
    <x v="1"/>
    <x v="0"/>
  </r>
  <r>
    <s v="SFB"/>
    <x v="84"/>
    <x v="84"/>
    <x v="5"/>
    <n v="91777.63"/>
    <d v="2016-08-10T00:00:00"/>
    <n v="0.75"/>
    <x v="1"/>
    <x v="0"/>
  </r>
  <r>
    <s v="ARK"/>
    <x v="85"/>
    <x v="85"/>
    <x v="3"/>
    <n v="32712.080000000002"/>
    <d v="2016-06-10T00:00:00"/>
    <n v="1"/>
    <x v="1"/>
    <x v="0"/>
  </r>
  <r>
    <s v="ROG"/>
    <x v="86"/>
    <x v="86"/>
    <x v="1"/>
    <n v="112735.41"/>
    <d v="2021-03-26T00:00:00"/>
    <n v="1"/>
    <x v="0"/>
    <x v="0"/>
  </r>
  <r>
    <s v="EZC"/>
    <x v="87"/>
    <x v="87"/>
    <x v="1"/>
    <n v="116601.82"/>
    <d v="2020-06-13T00:00:00"/>
    <n v="1"/>
    <x v="1"/>
    <x v="0"/>
  </r>
  <r>
    <s v="VWJ"/>
    <x v="88"/>
    <x v="88"/>
    <x v="2"/>
    <n v="95028.85"/>
    <d v="2022-12-02T00:00:00"/>
    <n v="0.75"/>
    <x v="0"/>
    <x v="0"/>
  </r>
  <r>
    <s v="VWJ"/>
    <x v="89"/>
    <x v="89"/>
    <x v="3"/>
    <n v="37068.47"/>
    <d v="2022-06-03T00:00:00"/>
    <n v="1"/>
    <x v="1"/>
    <x v="0"/>
  </r>
  <r>
    <s v="ARK"/>
    <x v="90"/>
    <x v="90"/>
    <x v="5"/>
    <n v="36329.65"/>
    <d v="2018-04-19T00:00:00"/>
    <n v="0.5"/>
    <x v="1"/>
    <x v="0"/>
  </r>
  <r>
    <s v="SSV"/>
    <x v="91"/>
    <x v="91"/>
    <x v="4"/>
    <n v="62332.800000000003"/>
    <d v="2020-10-08T00:00:00"/>
    <n v="0.5"/>
    <x v="1"/>
    <x v="3"/>
  </r>
  <r>
    <s v="ARK"/>
    <x v="92"/>
    <x v="92"/>
    <x v="1"/>
    <n v="32643.98"/>
    <d v="2020-07-06T00:00:00"/>
    <n v="1"/>
    <x v="1"/>
    <x v="0"/>
  </r>
  <r>
    <s v="ARK"/>
    <x v="93"/>
    <x v="93"/>
    <x v="1"/>
    <n v="61309"/>
    <d v="2021-10-03T00:00:00"/>
    <n v="0.5"/>
    <x v="1"/>
    <x v="0"/>
  </r>
  <r>
    <s v="SFB"/>
    <x v="94"/>
    <x v="94"/>
    <x v="5"/>
    <n v="30896.78"/>
    <d v="2019-02-16T00:00:00"/>
    <n v="1"/>
    <x v="1"/>
    <x v="0"/>
  </r>
  <r>
    <s v="VWJ"/>
    <x v="95"/>
    <x v="95"/>
    <x v="5"/>
    <n v="117689.12"/>
    <d v="2020-07-09T00:00:00"/>
    <n v="1"/>
    <x v="1"/>
    <x v="0"/>
  </r>
  <r>
    <s v="VWJ"/>
    <x v="96"/>
    <x v="96"/>
    <x v="5"/>
    <n v="103710.6"/>
    <d v="2021-03-24T00:00:00"/>
    <n v="1"/>
    <x v="1"/>
    <x v="0"/>
  </r>
  <r>
    <s v="HMN"/>
    <x v="97"/>
    <x v="97"/>
    <x v="5"/>
    <n v="36346.589999999997"/>
    <d v="2019-03-24T00:00:00"/>
    <n v="0.5"/>
    <x v="1"/>
    <x v="0"/>
  </r>
  <r>
    <s v="ARK"/>
    <x v="98"/>
    <x v="98"/>
    <x v="0"/>
    <n v="110409.16"/>
    <d v="2016-03-14T00:00:00"/>
    <n v="1"/>
    <x v="1"/>
    <x v="0"/>
  </r>
  <r>
    <s v="QGV"/>
    <x v="99"/>
    <x v="99"/>
    <x v="4"/>
    <n v="48718.02"/>
    <d v="2022-07-27T00:00:00"/>
    <n v="0.5"/>
    <x v="0"/>
    <x v="0"/>
  </r>
  <r>
    <s v="SFB"/>
    <x v="100"/>
    <x v="100"/>
    <x v="5"/>
    <n v="48431.17"/>
    <d v="2019-05-14T00:00:00"/>
    <n v="0.75"/>
    <x v="1"/>
    <x v="0"/>
  </r>
  <r>
    <s v="VWJ"/>
    <x v="101"/>
    <x v="101"/>
    <x v="3"/>
    <n v="90638.32"/>
    <d v="2016-06-17T00:00:00"/>
    <n v="1"/>
    <x v="1"/>
    <x v="0"/>
  </r>
  <r>
    <s v="VWJ"/>
    <x v="102"/>
    <x v="102"/>
    <x v="4"/>
    <n v="114443.6"/>
    <d v="2021-12-30T00:00:00"/>
    <n v="1"/>
    <x v="1"/>
    <x v="0"/>
  </r>
  <r>
    <s v="XEX"/>
    <x v="103"/>
    <x v="103"/>
    <x v="4"/>
    <n v="41086.93"/>
    <d v="2017-01-12T00:00:00"/>
    <n v="1"/>
    <x v="1"/>
    <x v="0"/>
  </r>
  <r>
    <s v="ARK"/>
    <x v="104"/>
    <x v="104"/>
    <x v="5"/>
    <n v="30646.61"/>
    <d v="2020-04-05T00:00:00"/>
    <n v="1"/>
    <x v="1"/>
    <x v="0"/>
  </r>
  <r>
    <s v="BKI"/>
    <x v="105"/>
    <x v="105"/>
    <x v="1"/>
    <n v="63221.71"/>
    <d v="2018-07-21T00:00:00"/>
    <n v="1"/>
    <x v="1"/>
    <x v="0"/>
  </r>
  <r>
    <s v="VWJ"/>
    <x v="106"/>
    <x v="106"/>
    <x v="1"/>
    <n v="32218.5"/>
    <d v="2017-08-03T00:00:00"/>
    <n v="0.75"/>
    <x v="1"/>
    <x v="0"/>
  </r>
  <r>
    <s v="VWJ"/>
    <x v="107"/>
    <x v="107"/>
    <x v="3"/>
    <n v="84436.34"/>
    <d v="2020-02-28T00:00:00"/>
    <n v="0.5"/>
    <x v="1"/>
    <x v="1"/>
  </r>
  <r>
    <s v="SSV"/>
    <x v="108"/>
    <x v="108"/>
    <x v="5"/>
    <n v="107325.8"/>
    <d v="2022-11-26T00:00:00"/>
    <n v="1"/>
    <x v="0"/>
    <x v="3"/>
  </r>
  <r>
    <s v="EZC"/>
    <x v="109"/>
    <x v="109"/>
    <x v="5"/>
    <n v="46829.25"/>
    <d v="2018-04-20T00:00:00"/>
    <n v="1"/>
    <x v="1"/>
    <x v="6"/>
  </r>
  <r>
    <s v="HMN"/>
    <x v="110"/>
    <x v="110"/>
    <x v="2"/>
    <n v="40115.19"/>
    <d v="2016-04-12T00:00:00"/>
    <n v="0.5"/>
    <x v="1"/>
    <x v="3"/>
  </r>
  <r>
    <s v="EZC"/>
    <x v="111"/>
    <x v="111"/>
    <x v="3"/>
    <n v="61000.46"/>
    <d v="2020-12-09T00:00:00"/>
    <n v="1"/>
    <x v="1"/>
    <x v="3"/>
  </r>
  <r>
    <s v="ARK"/>
    <x v="112"/>
    <x v="112"/>
    <x v="1"/>
    <n v="116325.44"/>
    <d v="2021-01-08T00:00:00"/>
    <n v="1"/>
    <x v="0"/>
    <x v="3"/>
  </r>
  <r>
    <s v="XEX"/>
    <x v="113"/>
    <x v="113"/>
    <x v="5"/>
    <n v="41714.19"/>
    <d v="2022-04-26T00:00:00"/>
    <n v="0.5"/>
    <x v="0"/>
    <x v="0"/>
  </r>
  <r>
    <s v="ARK"/>
    <x v="114"/>
    <x v="114"/>
    <x v="4"/>
    <n v="116986.73"/>
    <d v="2023-02-22T00:00:00"/>
    <n v="1"/>
    <x v="0"/>
    <x v="0"/>
  </r>
  <r>
    <s v="SFB"/>
    <x v="115"/>
    <x v="115"/>
    <x v="2"/>
    <n v="62601.59"/>
    <d v="2022-04-07T00:00:00"/>
    <n v="1"/>
    <x v="0"/>
    <x v="0"/>
  </r>
  <r>
    <s v="QGV"/>
    <x v="116"/>
    <x v="116"/>
    <x v="0"/>
    <n v="72603.34"/>
    <d v="2024-01-14T00:00:00"/>
    <n v="0.5"/>
    <x v="0"/>
    <x v="0"/>
  </r>
  <r>
    <s v="XEX"/>
    <x v="117"/>
    <x v="117"/>
    <x v="1"/>
    <n v="56336.88"/>
    <d v="2018-03-01T00:00:00"/>
    <n v="0.5"/>
    <x v="1"/>
    <x v="0"/>
  </r>
  <r>
    <s v="BKI"/>
    <x v="118"/>
    <x v="118"/>
    <x v="4"/>
    <n v="114341.42"/>
    <d v="2021-03-15T00:00:00"/>
    <n v="1"/>
    <x v="0"/>
    <x v="0"/>
  </r>
  <r>
    <s v="ROG"/>
    <x v="119"/>
    <x v="119"/>
    <x v="5"/>
    <n v="116233.31"/>
    <d v="2022-12-14T00:00:00"/>
    <n v="1"/>
    <x v="0"/>
    <x v="0"/>
  </r>
  <r>
    <s v="BKI"/>
    <x v="120"/>
    <x v="120"/>
    <x v="1"/>
    <n v="87232.41"/>
    <d v="2019-09-14T00:00:00"/>
    <n v="0.5"/>
    <x v="1"/>
    <x v="0"/>
  </r>
  <r>
    <s v="HMN"/>
    <x v="121"/>
    <x v="121"/>
    <x v="3"/>
    <n v="46564.1"/>
    <d v="2022-09-09T00:00:00"/>
    <n v="0.75"/>
    <x v="0"/>
    <x v="0"/>
  </r>
  <r>
    <s v="ARK"/>
    <x v="122"/>
    <x v="122"/>
    <x v="0"/>
    <n v="119365.66"/>
    <d v="2018-05-14T00:00:00"/>
    <n v="1"/>
    <x v="1"/>
    <x v="0"/>
  </r>
  <r>
    <s v="QGV"/>
    <x v="123"/>
    <x v="123"/>
    <x v="4"/>
    <n v="39232.239999999998"/>
    <d v="2019-10-05T00:00:00"/>
    <n v="0.75"/>
    <x v="1"/>
    <x v="0"/>
  </r>
  <r>
    <s v="HMN"/>
    <x v="124"/>
    <x v="124"/>
    <x v="5"/>
    <n v="82276.44"/>
    <d v="2023-03-22T00:00:00"/>
    <n v="0.75"/>
    <x v="0"/>
    <x v="0"/>
  </r>
  <r>
    <s v="EZC"/>
    <x v="125"/>
    <x v="125"/>
    <x v="2"/>
    <n v="44076.28"/>
    <d v="2014-06-09T00:00:00"/>
    <n v="1"/>
    <x v="1"/>
    <x v="6"/>
  </r>
  <r>
    <s v="XEX"/>
    <x v="126"/>
    <x v="126"/>
    <x v="5"/>
    <n v="110790.78"/>
    <d v="2015-12-22T00:00:00"/>
    <n v="1"/>
    <x v="1"/>
    <x v="3"/>
  </r>
  <r>
    <s v="BKI"/>
    <x v="127"/>
    <x v="127"/>
    <x v="5"/>
    <n v="115111.06"/>
    <d v="2022-06-08T00:00:00"/>
    <n v="1"/>
    <x v="0"/>
    <x v="0"/>
  </r>
  <r>
    <s v="SSV"/>
    <x v="128"/>
    <x v="128"/>
    <x v="2"/>
    <n v="102395.13"/>
    <d v="2019-10-21T00:00:00"/>
    <n v="1"/>
    <x v="1"/>
    <x v="0"/>
  </r>
  <r>
    <s v="EZC"/>
    <x v="129"/>
    <x v="47"/>
    <x v="4"/>
    <n v="58430.23"/>
    <d v="2021-02-11T00:00:00"/>
    <n v="0.5"/>
    <x v="1"/>
    <x v="0"/>
  </r>
  <r>
    <s v="XEX"/>
    <x v="130"/>
    <x v="129"/>
    <x v="4"/>
    <n v="51855.48"/>
    <d v="2018-04-11T00:00:00"/>
    <n v="0.75"/>
    <x v="1"/>
    <x v="0"/>
  </r>
  <r>
    <s v="SFB"/>
    <x v="131"/>
    <x v="130"/>
    <x v="3"/>
    <n v="97937.26"/>
    <d v="2021-09-30T00:00:00"/>
    <n v="0.75"/>
    <x v="1"/>
    <x v="0"/>
  </r>
  <r>
    <s v="QGV"/>
    <x v="132"/>
    <x v="131"/>
    <x v="2"/>
    <n v="56195.360000000001"/>
    <d v="2015-03-28T00:00:00"/>
    <n v="1"/>
    <x v="1"/>
    <x v="0"/>
  </r>
  <r>
    <s v="SSV"/>
    <x v="133"/>
    <x v="132"/>
    <x v="2"/>
    <n v="67780.679999999993"/>
    <d v="2024-03-13T00:00:00"/>
    <n v="0.5"/>
    <x v="0"/>
    <x v="0"/>
  </r>
  <r>
    <s v="SSV"/>
    <x v="134"/>
    <x v="133"/>
    <x v="5"/>
    <n v="34163.01"/>
    <d v="2015-02-05T00:00:00"/>
    <n v="1"/>
    <x v="1"/>
    <x v="0"/>
  </r>
  <r>
    <s v="XEX"/>
    <x v="135"/>
    <x v="134"/>
    <x v="5"/>
    <n v="41901.040000000001"/>
    <d v="2021-04-28T00:00:00"/>
    <n v="0.75"/>
    <x v="1"/>
    <x v="0"/>
  </r>
  <r>
    <s v="HMN"/>
    <x v="136"/>
    <x v="135"/>
    <x v="4"/>
    <n v="31849.47"/>
    <d v="2015-12-31T00:00:00"/>
    <n v="1"/>
    <x v="1"/>
    <x v="0"/>
  </r>
  <r>
    <s v="SFB"/>
    <x v="137"/>
    <x v="136"/>
    <x v="2"/>
    <n v="37012.9"/>
    <d v="2018-11-22T00:00:00"/>
    <n v="1"/>
    <x v="1"/>
    <x v="0"/>
  </r>
  <r>
    <s v="ROG"/>
    <x v="138"/>
    <x v="137"/>
    <x v="4"/>
    <n v="36589"/>
    <d v="2017-10-25T00:00:00"/>
    <n v="0.75"/>
    <x v="1"/>
    <x v="0"/>
  </r>
  <r>
    <s v="BKI"/>
    <x v="139"/>
    <x v="138"/>
    <x v="0"/>
    <n v="67820.850000000006"/>
    <d v="2019-12-20T00:00:00"/>
    <n v="0.5"/>
    <x v="1"/>
    <x v="0"/>
  </r>
  <r>
    <s v="SFB"/>
    <x v="140"/>
    <x v="139"/>
    <x v="2"/>
    <n v="79569.95"/>
    <d v="2017-06-12T00:00:00"/>
    <n v="1"/>
    <x v="1"/>
    <x v="6"/>
  </r>
  <r>
    <s v="ARK"/>
    <x v="141"/>
    <x v="140"/>
    <x v="2"/>
    <n v="96679.09"/>
    <d v="2016-05-01T00:00:00"/>
    <n v="0.75"/>
    <x v="1"/>
    <x v="0"/>
  </r>
  <r>
    <s v="SFB"/>
    <x v="142"/>
    <x v="141"/>
    <x v="4"/>
    <n v="42805.51"/>
    <d v="2017-06-26T00:00:00"/>
    <n v="1"/>
    <x v="1"/>
    <x v="0"/>
  </r>
  <r>
    <s v="ROG"/>
    <x v="143"/>
    <x v="142"/>
    <x v="5"/>
    <n v="67996.990000000005"/>
    <d v="2020-08-08T00:00:00"/>
    <n v="0.5"/>
    <x v="1"/>
    <x v="0"/>
  </r>
  <r>
    <s v="VWJ"/>
    <x v="144"/>
    <x v="143"/>
    <x v="5"/>
    <n v="87326.94"/>
    <d v="2014-11-21T00:00:00"/>
    <n v="1"/>
    <x v="1"/>
    <x v="0"/>
  </r>
  <r>
    <s v="EZC"/>
    <x v="145"/>
    <x v="144"/>
    <x v="0"/>
    <n v="37610.01"/>
    <d v="2018-05-21T00:00:00"/>
    <n v="0.5"/>
    <x v="1"/>
    <x v="0"/>
  </r>
  <r>
    <s v="SSV"/>
    <x v="146"/>
    <x v="145"/>
    <x v="0"/>
    <n v="70033"/>
    <d v="2015-02-25T00:00:00"/>
    <n v="0.5"/>
    <x v="1"/>
    <x v="0"/>
  </r>
  <r>
    <s v="SFB"/>
    <x v="147"/>
    <x v="146"/>
    <x v="1"/>
    <n v="63233.04"/>
    <d v="2014-07-19T00:00:00"/>
    <n v="0.5"/>
    <x v="1"/>
    <x v="0"/>
  </r>
  <r>
    <s v="EZC"/>
    <x v="148"/>
    <x v="147"/>
    <x v="1"/>
    <n v="115403.87"/>
    <d v="2020-12-01T00:00:00"/>
    <n v="1"/>
    <x v="1"/>
    <x v="0"/>
  </r>
  <r>
    <s v="XEX"/>
    <x v="149"/>
    <x v="148"/>
    <x v="0"/>
    <n v="35207.14"/>
    <d v="2023-07-03T00:00:00"/>
    <n v="0.75"/>
    <x v="0"/>
    <x v="0"/>
  </r>
  <r>
    <s v="XEX"/>
    <x v="150"/>
    <x v="149"/>
    <x v="3"/>
    <n v="66776.36"/>
    <d v="2014-06-27T00:00:00"/>
    <n v="0.5"/>
    <x v="1"/>
    <x v="0"/>
  </r>
  <r>
    <s v="SFB"/>
    <x v="151"/>
    <x v="150"/>
    <x v="2"/>
    <n v="67550.289999999994"/>
    <d v="2016-08-12T00:00:00"/>
    <n v="1"/>
    <x v="1"/>
    <x v="0"/>
  </r>
  <r>
    <s v="HMN"/>
    <x v="152"/>
    <x v="151"/>
    <x v="0"/>
    <n v="95536.25"/>
    <d v="2016-05-22T00:00:00"/>
    <n v="1"/>
    <x v="1"/>
    <x v="0"/>
  </r>
  <r>
    <s v="XEX"/>
    <x v="153"/>
    <x v="152"/>
    <x v="4"/>
    <n v="58860.39"/>
    <d v="2017-10-19T00:00:00"/>
    <n v="0.5"/>
    <x v="1"/>
    <x v="0"/>
  </r>
  <r>
    <s v="VWJ"/>
    <x v="154"/>
    <x v="153"/>
    <x v="4"/>
    <n v="48359.12"/>
    <d v="2015-10-18T00:00:00"/>
    <n v="0.75"/>
    <x v="1"/>
    <x v="0"/>
  </r>
  <r>
    <s v="SSV"/>
    <x v="155"/>
    <x v="154"/>
    <x v="4"/>
    <n v="56398.05"/>
    <d v="2022-05-04T00:00:00"/>
    <n v="0.75"/>
    <x v="0"/>
    <x v="1"/>
  </r>
  <r>
    <s v="HMN"/>
    <x v="156"/>
    <x v="155"/>
    <x v="1"/>
    <n v="72379.88"/>
    <d v="2017-10-09T00:00:00"/>
    <n v="0.5"/>
    <x v="1"/>
    <x v="6"/>
  </r>
  <r>
    <s v="EZC"/>
    <x v="157"/>
    <x v="156"/>
    <x v="0"/>
    <n v="115524.15"/>
    <d v="2014-06-08T00:00:00"/>
    <n v="1"/>
    <x v="1"/>
    <x v="0"/>
  </r>
  <r>
    <s v="BKI"/>
    <x v="158"/>
    <x v="157"/>
    <x v="1"/>
    <n v="101686.53"/>
    <d v="2023-04-05T00:00:00"/>
    <n v="1"/>
    <x v="0"/>
    <x v="0"/>
  </r>
  <r>
    <s v="ARK"/>
    <x v="159"/>
    <x v="158"/>
    <x v="4"/>
    <n v="54927.32"/>
    <d v="2021-06-21T00:00:00"/>
    <n v="0.75"/>
    <x v="0"/>
    <x v="0"/>
  </r>
  <r>
    <s v="SSV"/>
    <x v="160"/>
    <x v="159"/>
    <x v="2"/>
    <n v="80236.34"/>
    <d v="2015-07-18T00:00:00"/>
    <n v="0.5"/>
    <x v="1"/>
    <x v="0"/>
  </r>
  <r>
    <s v="ARK"/>
    <x v="161"/>
    <x v="160"/>
    <x v="4"/>
    <n v="91938.03"/>
    <d v="2023-07-18T00:00:00"/>
    <n v="1"/>
    <x v="0"/>
    <x v="0"/>
  </r>
  <r>
    <s v="BKI"/>
    <x v="162"/>
    <x v="161"/>
    <x v="4"/>
    <n v="101609.14"/>
    <d v="2017-06-03T00:00:00"/>
    <n v="1"/>
    <x v="1"/>
    <x v="0"/>
  </r>
  <r>
    <s v="XEX"/>
    <x v="163"/>
    <x v="162"/>
    <x v="2"/>
    <n v="70154.789999999994"/>
    <d v="2018-05-24T00:00:00"/>
    <n v="1"/>
    <x v="1"/>
    <x v="0"/>
  </r>
  <r>
    <s v="QGV"/>
    <x v="164"/>
    <x v="163"/>
    <x v="3"/>
    <n v="65889.919999999998"/>
    <d v="2018-04-09T00:00:00"/>
    <n v="0.75"/>
    <x v="1"/>
    <x v="0"/>
  </r>
  <r>
    <s v="VWJ"/>
    <x v="165"/>
    <x v="164"/>
    <x v="3"/>
    <n v="99087.67"/>
    <d v="2021-06-23T00:00:00"/>
    <n v="0.75"/>
    <x v="1"/>
    <x v="0"/>
  </r>
  <r>
    <s v="VWJ"/>
    <x v="166"/>
    <x v="165"/>
    <x v="5"/>
    <n v="68854.48"/>
    <d v="2020-11-27T00:00:00"/>
    <n v="0.75"/>
    <x v="1"/>
    <x v="0"/>
  </r>
  <r>
    <s v="VWJ"/>
    <x v="167"/>
    <x v="166"/>
    <x v="2"/>
    <n v="52316.19"/>
    <d v="2022-06-26T00:00:00"/>
    <n v="0.75"/>
    <x v="0"/>
    <x v="0"/>
  </r>
  <r>
    <s v="QGV"/>
    <x v="168"/>
    <x v="167"/>
    <x v="2"/>
    <n v="70810.23"/>
    <d v="2014-06-01T00:00:00"/>
    <n v="1"/>
    <x v="1"/>
    <x v="0"/>
  </r>
  <r>
    <s v="SSV"/>
    <x v="169"/>
    <x v="168"/>
    <x v="3"/>
    <n v="114339.42"/>
    <d v="2021-10-28T00:00:00"/>
    <n v="1"/>
    <x v="1"/>
    <x v="0"/>
  </r>
  <r>
    <s v="XEX"/>
    <x v="170"/>
    <x v="169"/>
    <x v="0"/>
    <n v="42831.07"/>
    <d v="2017-12-25T00:00:00"/>
    <n v="0.75"/>
    <x v="1"/>
    <x v="0"/>
  </r>
  <r>
    <s v="BKI"/>
    <x v="171"/>
    <x v="170"/>
    <x v="0"/>
    <n v="71619.179999999993"/>
    <d v="2020-11-22T00:00:00"/>
    <n v="0.75"/>
    <x v="1"/>
    <x v="7"/>
  </r>
  <r>
    <s v="HMN"/>
    <x v="172"/>
    <x v="171"/>
    <x v="1"/>
    <n v="87357.32"/>
    <d v="2015-02-09T00:00:00"/>
    <n v="0.75"/>
    <x v="1"/>
    <x v="7"/>
  </r>
  <r>
    <s v="QGV"/>
    <x v="173"/>
    <x v="172"/>
    <x v="2"/>
    <n v="73495.92"/>
    <d v="2018-12-28T00:00:00"/>
    <n v="0.5"/>
    <x v="1"/>
    <x v="6"/>
  </r>
  <r>
    <s v="ARK"/>
    <x v="174"/>
    <x v="173"/>
    <x v="4"/>
    <n v="48327.59"/>
    <d v="2014-11-23T00:00:00"/>
    <n v="0.75"/>
    <x v="1"/>
    <x v="0"/>
  </r>
  <r>
    <s v="VWJ"/>
    <x v="175"/>
    <x v="174"/>
    <x v="5"/>
    <n v="30165.88"/>
    <d v="2024-04-28T00:00:00"/>
    <n v="0.75"/>
    <x v="2"/>
    <x v="0"/>
  </r>
  <r>
    <s v="EZC"/>
    <x v="176"/>
    <x v="175"/>
    <x v="1"/>
    <n v="92909.25"/>
    <d v="2020-04-24T00:00:00"/>
    <n v="0.75"/>
    <x v="1"/>
    <x v="0"/>
  </r>
  <r>
    <s v="XEX"/>
    <x v="177"/>
    <x v="176"/>
    <x v="5"/>
    <n v="85686.2"/>
    <d v="2020-08-29T00:00:00"/>
    <n v="0.5"/>
    <x v="1"/>
    <x v="0"/>
  </r>
  <r>
    <s v="HMN"/>
    <x v="178"/>
    <x v="177"/>
    <x v="3"/>
    <n v="30699.9"/>
    <d v="2020-02-24T00:00:00"/>
    <n v="0.5"/>
    <x v="1"/>
    <x v="0"/>
  </r>
  <r>
    <s v="BKI"/>
    <x v="179"/>
    <x v="178"/>
    <x v="1"/>
    <n v="56870.41"/>
    <d v="2022-02-17T00:00:00"/>
    <n v="0.5"/>
    <x v="1"/>
    <x v="0"/>
  </r>
  <r>
    <s v="SSV"/>
    <x v="180"/>
    <x v="179"/>
    <x v="2"/>
    <n v="99177.08"/>
    <d v="2016-09-10T00:00:00"/>
    <n v="1"/>
    <x v="1"/>
    <x v="0"/>
  </r>
  <r>
    <s v="XEX"/>
    <x v="181"/>
    <x v="180"/>
    <x v="1"/>
    <n v="86602.83"/>
    <d v="2023-03-16T00:00:00"/>
    <n v="0.5"/>
    <x v="0"/>
    <x v="0"/>
  </r>
  <r>
    <s v="HMN"/>
    <x v="182"/>
    <x v="181"/>
    <x v="5"/>
    <n v="79068.73"/>
    <d v="2015-12-22T00:00:00"/>
    <n v="1"/>
    <x v="1"/>
    <x v="0"/>
  </r>
  <r>
    <s v="HMN"/>
    <x v="183"/>
    <x v="182"/>
    <x v="4"/>
    <n v="44059.9"/>
    <d v="2018-09-10T00:00:00"/>
    <n v="0.5"/>
    <x v="1"/>
    <x v="0"/>
  </r>
  <r>
    <s v="SFB"/>
    <x v="184"/>
    <x v="183"/>
    <x v="4"/>
    <n v="93566.46"/>
    <d v="2016-03-01T00:00:00"/>
    <n v="1"/>
    <x v="1"/>
    <x v="0"/>
  </r>
  <r>
    <s v="SSV"/>
    <x v="185"/>
    <x v="184"/>
    <x v="0"/>
    <n v="72429.14"/>
    <d v="2016-03-03T00:00:00"/>
    <n v="0.5"/>
    <x v="1"/>
    <x v="0"/>
  </r>
  <r>
    <s v="SSV"/>
    <x v="186"/>
    <x v="185"/>
    <x v="4"/>
    <n v="91036.09"/>
    <d v="2019-01-19T00:00:00"/>
    <n v="0.5"/>
    <x v="1"/>
    <x v="0"/>
  </r>
  <r>
    <s v="ROG"/>
    <x v="187"/>
    <x v="186"/>
    <x v="3"/>
    <n v="98408.09"/>
    <d v="2014-10-26T00:00:00"/>
    <n v="0.5"/>
    <x v="1"/>
    <x v="0"/>
  </r>
  <r>
    <s v="HMN"/>
    <x v="188"/>
    <x v="187"/>
    <x v="2"/>
    <n v="50912.639999999999"/>
    <d v="2016-10-27T00:00:00"/>
    <n v="0.75"/>
    <x v="1"/>
    <x v="0"/>
  </r>
  <r>
    <s v="ARK"/>
    <x v="189"/>
    <x v="188"/>
    <x v="0"/>
    <n v="98579.55"/>
    <d v="2016-09-20T00:00:00"/>
    <n v="0.75"/>
    <x v="1"/>
    <x v="0"/>
  </r>
  <r>
    <s v="QGV"/>
    <x v="190"/>
    <x v="189"/>
    <x v="1"/>
    <n v="55207.95"/>
    <d v="2020-11-08T00:00:00"/>
    <n v="1"/>
    <x v="1"/>
    <x v="0"/>
  </r>
  <r>
    <s v="ROG"/>
    <x v="191"/>
    <x v="190"/>
    <x v="4"/>
    <n v="118561.36"/>
    <d v="2017-12-06T00:00:00"/>
    <n v="1"/>
    <x v="1"/>
    <x v="0"/>
  </r>
  <r>
    <s v="HMN"/>
    <x v="192"/>
    <x v="191"/>
    <x v="2"/>
    <n v="40874.839999999997"/>
    <d v="2024-02-28T00:00:00"/>
    <n v="0.75"/>
    <x v="0"/>
    <x v="0"/>
  </r>
  <r>
    <s v="VWJ"/>
    <x v="193"/>
    <x v="192"/>
    <x v="2"/>
    <n v="109534.62"/>
    <d v="2019-11-05T00:00:00"/>
    <n v="1"/>
    <x v="1"/>
    <x v="7"/>
  </r>
  <r>
    <s v="VWJ"/>
    <x v="194"/>
    <x v="193"/>
    <x v="5"/>
    <n v="33649.24"/>
    <d v="2017-11-03T00:00:00"/>
    <n v="0.75"/>
    <x v="1"/>
    <x v="7"/>
  </r>
  <r>
    <s v="VWJ"/>
    <x v="195"/>
    <x v="194"/>
    <x v="1"/>
    <n v="53091.82"/>
    <d v="2021-07-29T00:00:00"/>
    <n v="0.75"/>
    <x v="1"/>
    <x v="0"/>
  </r>
  <r>
    <s v="ROG"/>
    <x v="196"/>
    <x v="195"/>
    <x v="0"/>
    <n v="77349.17"/>
    <d v="2023-01-19T00:00:00"/>
    <n v="0.75"/>
    <x v="2"/>
    <x v="0"/>
  </r>
  <r>
    <s v="SFB"/>
    <x v="197"/>
    <x v="196"/>
    <x v="4"/>
    <n v="82345.460000000006"/>
    <d v="2022-12-03T00:00:00"/>
    <n v="1"/>
    <x v="0"/>
    <x v="0"/>
  </r>
  <r>
    <s v="SSV"/>
    <x v="198"/>
    <x v="197"/>
    <x v="1"/>
    <n v="65661.149999999994"/>
    <d v="2016-06-15T00:00:00"/>
    <n v="1"/>
    <x v="1"/>
    <x v="0"/>
  </r>
  <r>
    <s v="VWJ"/>
    <x v="199"/>
    <x v="198"/>
    <x v="3"/>
    <n v="39182.86"/>
    <d v="2023-12-06T00:00:00"/>
    <n v="0.5"/>
    <x v="2"/>
    <x v="0"/>
  </r>
  <r>
    <s v="HMN"/>
    <x v="200"/>
    <x v="199"/>
    <x v="1"/>
    <n v="52734.73"/>
    <d v="2016-03-15T00:00:00"/>
    <n v="1"/>
    <x v="1"/>
    <x v="0"/>
  </r>
  <r>
    <s v="SSV"/>
    <x v="201"/>
    <x v="200"/>
    <x v="4"/>
    <n v="55505.69"/>
    <d v="2022-06-26T00:00:00"/>
    <n v="0.75"/>
    <x v="0"/>
    <x v="0"/>
  </r>
  <r>
    <s v="ARK"/>
    <x v="202"/>
    <x v="201"/>
    <x v="1"/>
    <n v="97970.06"/>
    <d v="2016-07-11T00:00:00"/>
    <n v="0.75"/>
    <x v="1"/>
    <x v="0"/>
  </r>
  <r>
    <s v="VWJ"/>
    <x v="203"/>
    <x v="202"/>
    <x v="2"/>
    <n v="111789.69"/>
    <d v="2023-01-25T00:00:00"/>
    <n v="1"/>
    <x v="0"/>
    <x v="0"/>
  </r>
  <r>
    <s v="XEX"/>
    <x v="204"/>
    <x v="203"/>
    <x v="2"/>
    <n v="83586.89"/>
    <d v="2022-01-09T00:00:00"/>
    <n v="0.5"/>
    <x v="0"/>
    <x v="0"/>
  </r>
  <r>
    <s v="EZC"/>
    <x v="205"/>
    <x v="204"/>
    <x v="5"/>
    <n v="33190.589999999997"/>
    <d v="2022-05-27T00:00:00"/>
    <n v="1"/>
    <x v="0"/>
    <x v="0"/>
  </r>
  <r>
    <s v="XEX"/>
    <x v="206"/>
    <x v="205"/>
    <x v="3"/>
    <n v="101301.28"/>
    <d v="2017-06-13T00:00:00"/>
    <n v="1"/>
    <x v="1"/>
    <x v="0"/>
  </r>
  <r>
    <s v="EZC"/>
    <x v="207"/>
    <x v="206"/>
    <x v="1"/>
    <n v="57504.35"/>
    <d v="2022-02-23T00:00:00"/>
    <n v="1"/>
    <x v="1"/>
    <x v="0"/>
  </r>
  <r>
    <s v="QGV"/>
    <x v="208"/>
    <x v="207"/>
    <x v="4"/>
    <n v="60590.14"/>
    <d v="2023-09-23T00:00:00"/>
    <n v="1"/>
    <x v="0"/>
    <x v="0"/>
  </r>
  <r>
    <s v="QGV"/>
    <x v="209"/>
    <x v="208"/>
    <x v="3"/>
    <n v="77716.69"/>
    <d v="2020-03-10T00:00:00"/>
    <n v="0.75"/>
    <x v="1"/>
    <x v="0"/>
  </r>
  <r>
    <s v="XEX"/>
    <x v="210"/>
    <x v="209"/>
    <x v="2"/>
    <n v="52414.23"/>
    <d v="2016-08-07T00:00:00"/>
    <n v="1"/>
    <x v="1"/>
    <x v="0"/>
  </r>
  <r>
    <s v="BKI"/>
    <x v="211"/>
    <x v="210"/>
    <x v="1"/>
    <n v="112798.03"/>
    <d v="2021-06-28T00:00:00"/>
    <n v="1"/>
    <x v="0"/>
    <x v="0"/>
  </r>
  <r>
    <s v="BKI"/>
    <x v="212"/>
    <x v="211"/>
    <x v="3"/>
    <n v="44719.93"/>
    <d v="2018-09-27T00:00:00"/>
    <n v="1"/>
    <x v="1"/>
    <x v="0"/>
  </r>
  <r>
    <s v="EZC"/>
    <x v="213"/>
    <x v="212"/>
    <x v="2"/>
    <n v="67334.740000000005"/>
    <d v="2020-10-29T00:00:00"/>
    <n v="0.5"/>
    <x v="1"/>
    <x v="0"/>
  </r>
  <r>
    <s v="SFB"/>
    <x v="214"/>
    <x v="213"/>
    <x v="0"/>
    <n v="56072.28"/>
    <d v="2015-09-30T00:00:00"/>
    <n v="0.5"/>
    <x v="1"/>
    <x v="0"/>
  </r>
  <r>
    <s v="QGV"/>
    <x v="215"/>
    <x v="214"/>
    <x v="0"/>
    <n v="76785.070000000007"/>
    <d v="2024-01-08T00:00:00"/>
    <n v="1"/>
    <x v="2"/>
    <x v="0"/>
  </r>
  <r>
    <s v="SSV"/>
    <x v="216"/>
    <x v="215"/>
    <x v="2"/>
    <n v="81658.36"/>
    <d v="2023-01-03T00:00:00"/>
    <n v="0.5"/>
    <x v="0"/>
    <x v="0"/>
  </r>
  <r>
    <s v="EZC"/>
    <x v="217"/>
    <x v="216"/>
    <x v="3"/>
    <n v="86442.57"/>
    <d v="2020-02-13T00:00:00"/>
    <n v="0.75"/>
    <x v="1"/>
    <x v="0"/>
  </r>
  <r>
    <s v="BKI"/>
    <x v="218"/>
    <x v="217"/>
    <x v="2"/>
    <n v="77823.820000000007"/>
    <d v="2018-05-20T00:00:00"/>
    <n v="1"/>
    <x v="1"/>
    <x v="0"/>
  </r>
  <r>
    <s v="VWJ"/>
    <x v="219"/>
    <x v="218"/>
    <x v="0"/>
    <n v="66972.41"/>
    <d v="2022-02-16T00:00:00"/>
    <n v="1"/>
    <x v="0"/>
    <x v="5"/>
  </r>
  <r>
    <s v="EZC"/>
    <x v="220"/>
    <x v="219"/>
    <x v="5"/>
    <n v="87113.46"/>
    <d v="2018-08-20T00:00:00"/>
    <n v="0.5"/>
    <x v="1"/>
    <x v="0"/>
  </r>
  <r>
    <s v="HMN"/>
    <x v="221"/>
    <x v="220"/>
    <x v="2"/>
    <n v="66307.16"/>
    <d v="2020-05-19T00:00:00"/>
    <n v="0.75"/>
    <x v="1"/>
    <x v="0"/>
  </r>
  <r>
    <s v="EZC"/>
    <x v="222"/>
    <x v="221"/>
    <x v="2"/>
    <n v="100069.52"/>
    <d v="2022-08-02T00:00:00"/>
    <n v="1"/>
    <x v="0"/>
    <x v="0"/>
  </r>
  <r>
    <s v="VWJ"/>
    <x v="223"/>
    <x v="222"/>
    <x v="0"/>
    <n v="100935.97"/>
    <d v="2021-05-22T00:00:00"/>
    <n v="1"/>
    <x v="0"/>
    <x v="0"/>
  </r>
  <r>
    <s v="EZC"/>
    <x v="224"/>
    <x v="223"/>
    <x v="0"/>
    <n v="56302.879999999997"/>
    <d v="2014-10-25T00:00:00"/>
    <n v="0.75"/>
    <x v="1"/>
    <x v="0"/>
  </r>
  <r>
    <s v="SFB"/>
    <x v="225"/>
    <x v="224"/>
    <x v="1"/>
    <n v="63462.39"/>
    <d v="2022-01-05T00:00:00"/>
    <n v="0.5"/>
    <x v="0"/>
    <x v="0"/>
  </r>
  <r>
    <s v="EZC"/>
    <x v="226"/>
    <x v="225"/>
    <x v="3"/>
    <n v="86592.98"/>
    <d v="2014-07-06T00:00:00"/>
    <n v="1"/>
    <x v="1"/>
    <x v="0"/>
  </r>
  <r>
    <s v="ROG"/>
    <x v="227"/>
    <x v="226"/>
    <x v="3"/>
    <n v="44136.3"/>
    <d v="2023-10-22T00:00:00"/>
    <n v="0.75"/>
    <x v="2"/>
    <x v="0"/>
  </r>
  <r>
    <s v="XEX"/>
    <x v="228"/>
    <x v="227"/>
    <x v="1"/>
    <n v="92732.87"/>
    <d v="2021-04-18T00:00:00"/>
    <n v="0.75"/>
    <x v="1"/>
    <x v="0"/>
  </r>
  <r>
    <s v="BKI"/>
    <x v="229"/>
    <x v="228"/>
    <x v="4"/>
    <n v="64328.5"/>
    <d v="2021-12-30T00:00:00"/>
    <n v="1"/>
    <x v="1"/>
    <x v="0"/>
  </r>
  <r>
    <s v="XEX"/>
    <x v="230"/>
    <x v="229"/>
    <x v="5"/>
    <n v="83195.62"/>
    <d v="2018-03-21T00:00:00"/>
    <n v="0.5"/>
    <x v="1"/>
    <x v="0"/>
  </r>
  <r>
    <s v="VWJ"/>
    <x v="231"/>
    <x v="230"/>
    <x v="0"/>
    <n v="42557.98"/>
    <d v="2021-09-18T00:00:00"/>
    <n v="1"/>
    <x v="0"/>
    <x v="0"/>
  </r>
  <r>
    <s v="QGV"/>
    <x v="232"/>
    <x v="231"/>
    <x v="0"/>
    <n v="90143.25"/>
    <d v="2018-07-05T00:00:00"/>
    <n v="1"/>
    <x v="1"/>
    <x v="0"/>
  </r>
  <r>
    <s v="SSV"/>
    <x v="233"/>
    <x v="232"/>
    <x v="5"/>
    <n v="61865.21"/>
    <d v="2018-09-19T00:00:00"/>
    <n v="0.5"/>
    <x v="1"/>
    <x v="0"/>
  </r>
  <r>
    <s v="QGV"/>
    <x v="234"/>
    <x v="233"/>
    <x v="5"/>
    <n v="72539.899999999994"/>
    <d v="2022-07-12T00:00:00"/>
    <n v="0.5"/>
    <x v="1"/>
    <x v="0"/>
  </r>
  <r>
    <s v="BKI"/>
    <x v="235"/>
    <x v="234"/>
    <x v="4"/>
    <n v="67359.67"/>
    <d v="2022-06-29T00:00:00"/>
    <n v="1"/>
    <x v="0"/>
    <x v="0"/>
  </r>
  <r>
    <s v="EZC"/>
    <x v="236"/>
    <x v="235"/>
    <x v="3"/>
    <n v="72904.37"/>
    <d v="2016-10-22T00:00:00"/>
    <n v="1"/>
    <x v="1"/>
    <x v="0"/>
  </r>
  <r>
    <s v="BKI"/>
    <x v="237"/>
    <x v="236"/>
    <x v="1"/>
    <n v="92522.61"/>
    <d v="2018-04-17T00:00:00"/>
    <n v="1"/>
    <x v="1"/>
    <x v="0"/>
  </r>
  <r>
    <s v="VWJ"/>
    <x v="238"/>
    <x v="237"/>
    <x v="5"/>
    <n v="58641.62"/>
    <d v="2021-11-28T00:00:00"/>
    <n v="1"/>
    <x v="1"/>
    <x v="0"/>
  </r>
  <r>
    <s v="VWJ"/>
    <x v="239"/>
    <x v="238"/>
    <x v="3"/>
    <n v="88684.9"/>
    <d v="2019-03-26T00:00:00"/>
    <n v="0.75"/>
    <x v="1"/>
    <x v="0"/>
  </r>
  <r>
    <s v="HMN"/>
    <x v="240"/>
    <x v="239"/>
    <x v="1"/>
    <n v="35419.99"/>
    <d v="2020-07-13T00:00:00"/>
    <n v="0.75"/>
    <x v="1"/>
    <x v="0"/>
  </r>
  <r>
    <s v="SFB"/>
    <x v="241"/>
    <x v="240"/>
    <x v="2"/>
    <n v="57016.66"/>
    <d v="2022-09-06T00:00:00"/>
    <n v="0.75"/>
    <x v="1"/>
    <x v="0"/>
  </r>
  <r>
    <s v="SFB"/>
    <x v="242"/>
    <x v="241"/>
    <x v="3"/>
    <n v="97068.87"/>
    <d v="2016-12-09T00:00:00"/>
    <n v="0.75"/>
    <x v="1"/>
    <x v="0"/>
  </r>
  <r>
    <s v="QGV"/>
    <x v="243"/>
    <x v="242"/>
    <x v="5"/>
    <n v="34716.53"/>
    <d v="2023-04-18T00:00:00"/>
    <n v="0.5"/>
    <x v="0"/>
    <x v="0"/>
  </r>
  <r>
    <s v="SFB"/>
    <x v="244"/>
    <x v="243"/>
    <x v="0"/>
    <n v="85902.8"/>
    <d v="2015-11-25T00:00:00"/>
    <n v="0.75"/>
    <x v="1"/>
    <x v="0"/>
  </r>
  <r>
    <s v="XEX"/>
    <x v="245"/>
    <x v="244"/>
    <x v="0"/>
    <n v="32299.21"/>
    <d v="2017-08-07T00:00:00"/>
    <n v="0.75"/>
    <x v="1"/>
    <x v="0"/>
  </r>
  <r>
    <s v="QGV"/>
    <x v="246"/>
    <x v="245"/>
    <x v="2"/>
    <n v="72437.600000000006"/>
    <d v="2019-07-06T00:00:00"/>
    <n v="1"/>
    <x v="1"/>
    <x v="0"/>
  </r>
  <r>
    <s v="HMN"/>
    <x v="247"/>
    <x v="246"/>
    <x v="4"/>
    <n v="109969.05"/>
    <d v="2023-03-21T00:00:00"/>
    <n v="1"/>
    <x v="0"/>
    <x v="6"/>
  </r>
  <r>
    <s v="QGV"/>
    <x v="248"/>
    <x v="247"/>
    <x v="4"/>
    <n v="30909.91"/>
    <d v="2016-06-30T00:00:00"/>
    <n v="1"/>
    <x v="1"/>
    <x v="1"/>
  </r>
  <r>
    <s v="VWJ"/>
    <x v="249"/>
    <x v="248"/>
    <x v="3"/>
    <n v="77414.52"/>
    <d v="2015-05-31T00:00:00"/>
    <n v="1"/>
    <x v="1"/>
    <x v="0"/>
  </r>
  <r>
    <s v="ARK"/>
    <x v="250"/>
    <x v="249"/>
    <x v="4"/>
    <n v="35981.11"/>
    <d v="2017-01-17T00:00:00"/>
    <n v="0.5"/>
    <x v="1"/>
    <x v="0"/>
  </r>
  <r>
    <s v="SSV"/>
    <x v="251"/>
    <x v="250"/>
    <x v="4"/>
    <n v="108039.88"/>
    <d v="2020-03-29T00:00:00"/>
    <n v="1"/>
    <x v="1"/>
    <x v="0"/>
  </r>
  <r>
    <s v="ROG"/>
    <x v="252"/>
    <x v="251"/>
    <x v="1"/>
    <n v="91766.69"/>
    <d v="2015-01-12T00:00:00"/>
    <n v="0.75"/>
    <x v="1"/>
    <x v="0"/>
  </r>
  <r>
    <s v="QGV"/>
    <x v="253"/>
    <x v="252"/>
    <x v="1"/>
    <n v="96775.85"/>
    <d v="2020-02-06T00:00:00"/>
    <n v="1"/>
    <x v="1"/>
    <x v="0"/>
  </r>
  <r>
    <s v="VWJ"/>
    <x v="254"/>
    <x v="253"/>
    <x v="4"/>
    <n v="90210.68"/>
    <d v="2017-02-19T00:00:00"/>
    <n v="1"/>
    <x v="1"/>
    <x v="0"/>
  </r>
  <r>
    <s v="SSV"/>
    <x v="255"/>
    <x v="254"/>
    <x v="5"/>
    <n v="30578.11"/>
    <d v="2022-05-19T00:00:00"/>
    <n v="0.75"/>
    <x v="1"/>
    <x v="8"/>
  </r>
  <r>
    <s v="HMN"/>
    <x v="256"/>
    <x v="255"/>
    <x v="4"/>
    <n v="33706.01"/>
    <d v="2021-01-18T00:00:00"/>
    <n v="1"/>
    <x v="1"/>
    <x v="0"/>
  </r>
  <r>
    <s v="ARK"/>
    <x v="257"/>
    <x v="256"/>
    <x v="2"/>
    <n v="85878.91"/>
    <d v="2017-08-07T00:00:00"/>
    <n v="0.5"/>
    <x v="1"/>
    <x v="4"/>
  </r>
  <r>
    <s v="ROG"/>
    <x v="258"/>
    <x v="257"/>
    <x v="5"/>
    <n v="119971.66"/>
    <d v="2021-05-29T00:00:00"/>
    <n v="1"/>
    <x v="1"/>
    <x v="0"/>
  </r>
  <r>
    <s v="ARK"/>
    <x v="259"/>
    <x v="258"/>
    <x v="1"/>
    <n v="108583.25"/>
    <d v="2022-11-06T00:00:00"/>
    <n v="1"/>
    <x v="0"/>
    <x v="5"/>
  </r>
  <r>
    <s v="BKI"/>
    <x v="260"/>
    <x v="259"/>
    <x v="1"/>
    <n v="92971.72"/>
    <d v="2017-09-04T00:00:00"/>
    <n v="0.75"/>
    <x v="1"/>
    <x v="9"/>
  </r>
  <r>
    <s v="SSV"/>
    <x v="261"/>
    <x v="260"/>
    <x v="0"/>
    <n v="95439"/>
    <d v="2017-04-04T00:00:00"/>
    <n v="1"/>
    <x v="1"/>
    <x v="0"/>
  </r>
  <r>
    <s v="SFB"/>
    <x v="262"/>
    <x v="261"/>
    <x v="2"/>
    <n v="50401.83"/>
    <d v="2021-01-21T00:00:00"/>
    <n v="0.75"/>
    <x v="0"/>
    <x v="0"/>
  </r>
  <r>
    <s v="QGV"/>
    <x v="263"/>
    <x v="262"/>
    <x v="5"/>
    <n v="97645.25"/>
    <d v="2015-03-18T00:00:00"/>
    <n v="0.5"/>
    <x v="1"/>
    <x v="0"/>
  </r>
  <r>
    <s v="QGV"/>
    <x v="264"/>
    <x v="263"/>
    <x v="3"/>
    <n v="55913.17"/>
    <d v="2020-03-05T00:00:00"/>
    <n v="0.5"/>
    <x v="1"/>
    <x v="0"/>
  </r>
  <r>
    <s v="XEX"/>
    <x v="265"/>
    <x v="264"/>
    <x v="2"/>
    <n v="39491.42"/>
    <d v="2023-04-09T00:00:00"/>
    <n v="1"/>
    <x v="2"/>
    <x v="0"/>
  </r>
  <r>
    <s v="XEX"/>
    <x v="266"/>
    <x v="265"/>
    <x v="3"/>
    <n v="71480.539999999994"/>
    <d v="2017-08-07T00:00:00"/>
    <n v="0.5"/>
    <x v="1"/>
    <x v="0"/>
  </r>
  <r>
    <s v="ROG"/>
    <x v="267"/>
    <x v="266"/>
    <x v="3"/>
    <n v="59717.62"/>
    <d v="2019-12-28T00:00:00"/>
    <n v="1"/>
    <x v="1"/>
    <x v="0"/>
  </r>
  <r>
    <s v="ROG"/>
    <x v="268"/>
    <x v="267"/>
    <x v="4"/>
    <n v="45142.99"/>
    <d v="2017-07-11T00:00:00"/>
    <n v="0.5"/>
    <x v="1"/>
    <x v="0"/>
  </r>
  <r>
    <s v="ARK"/>
    <x v="269"/>
    <x v="268"/>
    <x v="3"/>
    <n v="67953.89"/>
    <d v="2023-03-30T00:00:00"/>
    <n v="0.5"/>
    <x v="0"/>
    <x v="0"/>
  </r>
  <r>
    <s v="ARK"/>
    <x v="270"/>
    <x v="269"/>
    <x v="4"/>
    <n v="110748.09"/>
    <d v="2023-08-23T00:00:00"/>
    <n v="1"/>
    <x v="0"/>
    <x v="0"/>
  </r>
  <r>
    <s v="VWJ"/>
    <x v="271"/>
    <x v="270"/>
    <x v="0"/>
    <n v="69174.320000000007"/>
    <d v="2024-04-27T00:00:00"/>
    <n v="0.75"/>
    <x v="0"/>
    <x v="0"/>
  </r>
  <r>
    <s v="HMN"/>
    <x v="272"/>
    <x v="271"/>
    <x v="3"/>
    <n v="70256.27"/>
    <d v="2021-10-17T00:00:00"/>
    <n v="0.5"/>
    <x v="1"/>
    <x v="0"/>
  </r>
  <r>
    <s v="ROG"/>
    <x v="273"/>
    <x v="272"/>
    <x v="3"/>
    <n v="93794.5"/>
    <d v="2016-12-30T00:00:00"/>
    <n v="0.75"/>
    <x v="1"/>
    <x v="7"/>
  </r>
  <r>
    <s v="XEX"/>
    <x v="274"/>
    <x v="273"/>
    <x v="4"/>
    <n v="77174.570000000007"/>
    <d v="2022-10-21T00:00:00"/>
    <n v="1"/>
    <x v="1"/>
    <x v="10"/>
  </r>
  <r>
    <s v="HMN"/>
    <x v="275"/>
    <x v="274"/>
    <x v="0"/>
    <n v="41630.07"/>
    <d v="2024-02-13T00:00:00"/>
    <n v="0.75"/>
    <x v="0"/>
    <x v="1"/>
  </r>
  <r>
    <s v="ARK"/>
    <x v="276"/>
    <x v="275"/>
    <x v="2"/>
    <n v="111935.32"/>
    <d v="2018-01-14T00:00:00"/>
    <n v="1"/>
    <x v="1"/>
    <x v="6"/>
  </r>
  <r>
    <s v="ARK"/>
    <x v="277"/>
    <x v="276"/>
    <x v="1"/>
    <n v="69971.19"/>
    <d v="2021-12-01T00:00:00"/>
    <n v="1"/>
    <x v="1"/>
    <x v="1"/>
  </r>
  <r>
    <s v="SSV"/>
    <x v="278"/>
    <x v="277"/>
    <x v="5"/>
    <n v="101040.4"/>
    <d v="2014-12-20T00:00:00"/>
    <n v="1"/>
    <x v="1"/>
    <x v="6"/>
  </r>
  <r>
    <s v="VWJ"/>
    <x v="279"/>
    <x v="278"/>
    <x v="3"/>
    <n v="64998.76"/>
    <d v="2018-07-17T00:00:00"/>
    <n v="0.5"/>
    <x v="1"/>
    <x v="10"/>
  </r>
  <r>
    <s v="QGV"/>
    <x v="280"/>
    <x v="279"/>
    <x v="3"/>
    <n v="102616.14"/>
    <d v="2022-09-15T00:00:00"/>
    <n v="1"/>
    <x v="0"/>
    <x v="5"/>
  </r>
  <r>
    <s v="EZC"/>
    <x v="281"/>
    <x v="280"/>
    <x v="2"/>
    <n v="65058.28"/>
    <d v="2019-10-25T00:00:00"/>
    <n v="0.75"/>
    <x v="1"/>
    <x v="6"/>
  </r>
  <r>
    <s v="HMN"/>
    <x v="282"/>
    <x v="281"/>
    <x v="2"/>
    <n v="49814.36"/>
    <d v="2023-11-12T00:00:00"/>
    <n v="1"/>
    <x v="0"/>
    <x v="6"/>
  </r>
  <r>
    <s v="ARK"/>
    <x v="283"/>
    <x v="282"/>
    <x v="2"/>
    <n v="47657.52"/>
    <d v="2017-10-01T00:00:00"/>
    <n v="0.75"/>
    <x v="1"/>
    <x v="1"/>
  </r>
  <r>
    <s v="HMN"/>
    <x v="284"/>
    <x v="283"/>
    <x v="3"/>
    <n v="114603.12"/>
    <d v="2014-06-02T00:00:00"/>
    <n v="1"/>
    <x v="1"/>
    <x v="6"/>
  </r>
  <r>
    <s v="SSV"/>
    <x v="285"/>
    <x v="284"/>
    <x v="3"/>
    <n v="82787.72"/>
    <d v="2015-02-24T00:00:00"/>
    <n v="0.75"/>
    <x v="1"/>
    <x v="0"/>
  </r>
  <r>
    <s v="VWJ"/>
    <x v="286"/>
    <x v="285"/>
    <x v="1"/>
    <n v="34481.39"/>
    <d v="2015-06-20T00:00:00"/>
    <n v="1"/>
    <x v="1"/>
    <x v="0"/>
  </r>
  <r>
    <s v="EZC"/>
    <x v="287"/>
    <x v="286"/>
    <x v="4"/>
    <n v="64951.28"/>
    <d v="2016-09-09T00:00:00"/>
    <n v="0.5"/>
    <x v="1"/>
    <x v="0"/>
  </r>
  <r>
    <s v="XEX"/>
    <x v="288"/>
    <x v="287"/>
    <x v="0"/>
    <n v="51062.63"/>
    <d v="2018-07-17T00:00:00"/>
    <n v="0.75"/>
    <x v="1"/>
    <x v="0"/>
  </r>
  <r>
    <s v="ROG"/>
    <x v="289"/>
    <x v="288"/>
    <x v="4"/>
    <n v="37619.14"/>
    <d v="2021-12-13T00:00:00"/>
    <n v="1"/>
    <x v="1"/>
    <x v="0"/>
  </r>
  <r>
    <s v="HMN"/>
    <x v="290"/>
    <x v="289"/>
    <x v="0"/>
    <n v="46808.03"/>
    <d v="2018-03-21T00:00:00"/>
    <n v="0.75"/>
    <x v="1"/>
    <x v="0"/>
  </r>
  <r>
    <s v="HMN"/>
    <x v="291"/>
    <x v="290"/>
    <x v="1"/>
    <n v="35129.14"/>
    <d v="2016-04-06T00:00:00"/>
    <n v="0.5"/>
    <x v="1"/>
    <x v="0"/>
  </r>
  <r>
    <s v="BKI"/>
    <x v="292"/>
    <x v="291"/>
    <x v="5"/>
    <n v="87426.63"/>
    <d v="2023-03-08T00:00:00"/>
    <n v="0.75"/>
    <x v="0"/>
    <x v="0"/>
  </r>
  <r>
    <s v="SSV"/>
    <x v="293"/>
    <x v="292"/>
    <x v="3"/>
    <n v="45603.65"/>
    <d v="2021-08-25T00:00:00"/>
    <n v="1"/>
    <x v="1"/>
    <x v="0"/>
  </r>
  <r>
    <s v="QGV"/>
    <x v="294"/>
    <x v="293"/>
    <x v="3"/>
    <n v="84970.19"/>
    <d v="2019-04-13T00:00:00"/>
    <n v="1"/>
    <x v="1"/>
    <x v="0"/>
  </r>
  <r>
    <s v="EZC"/>
    <x v="295"/>
    <x v="294"/>
    <x v="5"/>
    <n v="85125.61"/>
    <d v="2020-02-29T00:00:00"/>
    <n v="0.5"/>
    <x v="1"/>
    <x v="0"/>
  </r>
  <r>
    <s v="XEX"/>
    <x v="296"/>
    <x v="295"/>
    <x v="5"/>
    <n v="93443.13"/>
    <d v="2022-10-21T00:00:00"/>
    <n v="1"/>
    <x v="1"/>
    <x v="0"/>
  </r>
  <r>
    <s v="ARK"/>
    <x v="297"/>
    <x v="296"/>
    <x v="4"/>
    <n v="76090.679999999993"/>
    <d v="2017-09-04T00:00:00"/>
    <n v="0.75"/>
    <x v="1"/>
    <x v="0"/>
  </r>
  <r>
    <s v="VWJ"/>
    <x v="298"/>
    <x v="297"/>
    <x v="2"/>
    <n v="55598.16"/>
    <d v="2017-03-09T00:00:00"/>
    <n v="0.75"/>
    <x v="1"/>
    <x v="0"/>
  </r>
  <r>
    <s v="EZC"/>
    <x v="299"/>
    <x v="298"/>
    <x v="5"/>
    <n v="108971.17"/>
    <d v="2020-09-30T00:00:00"/>
    <n v="1"/>
    <x v="1"/>
    <x v="0"/>
  </r>
  <r>
    <s v="XEX"/>
    <x v="300"/>
    <x v="299"/>
    <x v="3"/>
    <n v="56423.87"/>
    <d v="2024-01-04T00:00:00"/>
    <n v="0.75"/>
    <x v="1"/>
    <x v="0"/>
  </r>
  <r>
    <s v="ARK"/>
    <x v="301"/>
    <x v="300"/>
    <x v="1"/>
    <n v="61234.76"/>
    <d v="2024-01-15T00:00:00"/>
    <n v="1"/>
    <x v="0"/>
    <x v="0"/>
  </r>
  <r>
    <s v="BKI"/>
    <x v="302"/>
    <x v="301"/>
    <x v="2"/>
    <n v="78345.22"/>
    <d v="2024-02-03T00:00:00"/>
    <n v="0.5"/>
    <x v="2"/>
    <x v="0"/>
  </r>
  <r>
    <s v="QGV"/>
    <x v="303"/>
    <x v="302"/>
    <x v="4"/>
    <n v="70234.559999999998"/>
    <d v="2024-02-25T00:00:00"/>
    <n v="1"/>
    <x v="1"/>
    <x v="0"/>
  </r>
  <r>
    <s v="VWJ"/>
    <x v="304"/>
    <x v="303"/>
    <x v="5"/>
    <n v="83567.89"/>
    <d v="2024-03-01T00:00:00"/>
    <n v="0.75"/>
    <x v="1"/>
    <x v="0"/>
  </r>
  <r>
    <s v="EZC"/>
    <x v="305"/>
    <x v="304"/>
    <x v="0"/>
    <n v="90345.12"/>
    <d v="2024-03-12T00:00:00"/>
    <n v="1"/>
    <x v="0"/>
    <x v="0"/>
  </r>
  <r>
    <s v="ROG"/>
    <x v="306"/>
    <x v="305"/>
    <x v="3"/>
    <n v="72345.78"/>
    <d v="2024-04-04T00:00:00"/>
    <n v="0.75"/>
    <x v="1"/>
    <x v="0"/>
  </r>
  <r>
    <s v="HMN"/>
    <x v="307"/>
    <x v="306"/>
    <x v="2"/>
    <n v="62345.34"/>
    <d v="2024-04-15T00:00:00"/>
    <n v="1"/>
    <x v="2"/>
    <x v="0"/>
  </r>
  <r>
    <s v="SFB"/>
    <x v="308"/>
    <x v="307"/>
    <x v="1"/>
    <n v="71234.45"/>
    <d v="2024-04-28T00:00:00"/>
    <n v="0.5"/>
    <x v="0"/>
    <x v="0"/>
  </r>
  <r>
    <s v="XEX"/>
    <x v="309"/>
    <x v="308"/>
    <x v="5"/>
    <n v="91234.559999999998"/>
    <d v="2024-05-01T00:00:00"/>
    <n v="0.75"/>
    <x v="1"/>
    <x v="0"/>
  </r>
  <r>
    <s v="BKI"/>
    <x v="310"/>
    <x v="309"/>
    <x v="4"/>
    <n v="80345.67"/>
    <d v="2024-05-14T00:00:00"/>
    <n v="1"/>
    <x v="0"/>
    <x v="0"/>
  </r>
  <r>
    <s v="QGV"/>
    <x v="311"/>
    <x v="310"/>
    <x v="0"/>
    <n v="75345.119999999995"/>
    <d v="2024-05-28T00:00:00"/>
    <n v="0.5"/>
    <x v="1"/>
    <x v="0"/>
  </r>
  <r>
    <s v="SSV"/>
    <x v="312"/>
    <x v="311"/>
    <x v="3"/>
    <n v="84356.78"/>
    <d v="2024-06-02T00:00:00"/>
    <n v="1"/>
    <x v="2"/>
    <x v="0"/>
  </r>
  <r>
    <s v="ROG"/>
    <x v="313"/>
    <x v="312"/>
    <x v="1"/>
    <n v="93234.559999999998"/>
    <d v="2024-06-15T00:00:00"/>
    <n v="0.75"/>
    <x v="0"/>
    <x v="0"/>
  </r>
  <r>
    <s v="ARK"/>
    <x v="314"/>
    <x v="313"/>
    <x v="5"/>
    <n v="51234.67"/>
    <d v="2024-06-28T00:00:00"/>
    <n v="0.5"/>
    <x v="1"/>
    <x v="0"/>
  </r>
  <r>
    <s v="EZC"/>
    <x v="315"/>
    <x v="314"/>
    <x v="2"/>
    <n v="65234.559999999998"/>
    <d v="2024-07-01T00:00:00"/>
    <n v="1"/>
    <x v="1"/>
    <x v="0"/>
  </r>
  <r>
    <s v="QGV"/>
    <x v="316"/>
    <x v="315"/>
    <x v="3"/>
    <n v="75234.12"/>
    <d v="2024-07-14T00:00:00"/>
    <n v="0.75"/>
    <x v="0"/>
    <x v="4"/>
  </r>
  <r>
    <s v="HMN"/>
    <x v="317"/>
    <x v="316"/>
    <x v="0"/>
    <n v="89234.45"/>
    <d v="2024-07-25T00:00:00"/>
    <n v="0.75"/>
    <x v="2"/>
    <x v="1"/>
  </r>
  <r>
    <s v="VWJ"/>
    <x v="318"/>
    <x v="317"/>
    <x v="4"/>
    <n v="60345.67"/>
    <d v="2024-08-03T00:00:00"/>
    <n v="1"/>
    <x v="1"/>
    <x v="1"/>
  </r>
  <r>
    <s v="EZC"/>
    <x v="319"/>
    <x v="318"/>
    <x v="5"/>
    <n v="70234.89"/>
    <d v="2024-08-15T00:00:00"/>
    <n v="1"/>
    <x v="0"/>
    <x v="0"/>
  </r>
  <r>
    <s v="EZC"/>
    <x v="320"/>
    <x v="319"/>
    <x v="5"/>
    <n v="150000"/>
    <d v="2024-08-16T00:00:00"/>
    <n v="2"/>
    <x v="0"/>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E54E30-002E-4E63-A648-6208573FC2EB}" name="PivotTable28" cacheId="0" applyNumberFormats="0" applyBorderFormats="0" applyFontFormats="0" applyPatternFormats="0" applyAlignmentFormats="0" applyWidthHeightFormats="1" dataCaption="Values" grandTotalCaption="Top 10" updatedVersion="8" minRefreshableVersion="3" showDrill="0" itemPrintTitles="1" createdVersion="8" indent="0" showHeaders="0" compact="0" compactData="0" multipleFieldFilters="0">
  <location ref="B27:D38" firstHeaderRow="1" firstDataRow="1" firstDataCol="2"/>
  <pivotFields count="9">
    <pivotField compact="0" outline="0" showAll="0"/>
    <pivotField axis="axisRow" compact="0" outline="0" showAll="0" measureFilter="1" sortType="descending" defaultSubtotal="0">
      <items count="321">
        <item x="155"/>
        <item x="292"/>
        <item x="297"/>
        <item x="35"/>
        <item x="101"/>
        <item x="285"/>
        <item x="123"/>
        <item x="196"/>
        <item x="153"/>
        <item x="241"/>
        <item x="58"/>
        <item x="281"/>
        <item x="272"/>
        <item x="267"/>
        <item x="197"/>
        <item x="135"/>
        <item x="188"/>
        <item x="105"/>
        <item x="177"/>
        <item x="19"/>
        <item x="228"/>
        <item x="118"/>
        <item x="238"/>
        <item x="121"/>
        <item x="69"/>
        <item x="237"/>
        <item x="193"/>
        <item x="176"/>
        <item x="211"/>
        <item x="33"/>
        <item x="169"/>
        <item x="263"/>
        <item x="57"/>
        <item x="162"/>
        <item x="29"/>
        <item x="115"/>
        <item x="278"/>
        <item x="288"/>
        <item x="1"/>
        <item x="236"/>
        <item x="141"/>
        <item x="276"/>
        <item x="183"/>
        <item x="47"/>
        <item x="260"/>
        <item x="116"/>
        <item x="30"/>
        <item x="28"/>
        <item x="137"/>
        <item x="248"/>
        <item x="36"/>
        <item x="264"/>
        <item x="8"/>
        <item x="194"/>
        <item x="73"/>
        <item x="80"/>
        <item x="261"/>
        <item x="203"/>
        <item x="7"/>
        <item x="210"/>
        <item x="255"/>
        <item x="56"/>
        <item x="16"/>
        <item x="63"/>
        <item x="279"/>
        <item x="225"/>
        <item x="296"/>
        <item x="14"/>
        <item x="221"/>
        <item x="172"/>
        <item x="120"/>
        <item x="200"/>
        <item x="180"/>
        <item x="290"/>
        <item x="256"/>
        <item x="72"/>
        <item x="107"/>
        <item x="83"/>
        <item x="127"/>
        <item x="79"/>
        <item x="185"/>
        <item x="22"/>
        <item x="110"/>
        <item x="266"/>
        <item x="126"/>
        <item x="170"/>
        <item x="23"/>
        <item x="52"/>
        <item x="284"/>
        <item x="156"/>
        <item x="227"/>
        <item x="232"/>
        <item x="54"/>
        <item x="207"/>
        <item x="74"/>
        <item x="31"/>
        <item x="62"/>
        <item x="97"/>
        <item x="293"/>
        <item x="143"/>
        <item x="67"/>
        <item x="291"/>
        <item x="70"/>
        <item x="246"/>
        <item x="45"/>
        <item x="100"/>
        <item x="49"/>
        <item x="32"/>
        <item x="119"/>
        <item x="247"/>
        <item x="286"/>
        <item x="152"/>
        <item x="173"/>
        <item x="275"/>
        <item x="160"/>
        <item x="240"/>
        <item x="66"/>
        <item x="108"/>
        <item x="50"/>
        <item x="164"/>
        <item x="174"/>
        <item x="144"/>
        <item x="40"/>
        <item x="298"/>
        <item x="223"/>
        <item x="113"/>
        <item x="220"/>
        <item x="5"/>
        <item x="122"/>
        <item x="20"/>
        <item x="157"/>
        <item x="2"/>
        <item x="165"/>
        <item x="254"/>
        <item x="103"/>
        <item x="104"/>
        <item x="92"/>
        <item x="202"/>
        <item x="274"/>
        <item x="4"/>
        <item x="125"/>
        <item x="161"/>
        <item x="175"/>
        <item x="21"/>
        <item x="12"/>
        <item x="216"/>
        <item x="102"/>
        <item x="13"/>
        <item x="282"/>
        <item x="206"/>
        <item x="283"/>
        <item x="277"/>
        <item x="186"/>
        <item x="234"/>
        <item x="55"/>
        <item x="280"/>
        <item x="77"/>
        <item x="287"/>
        <item x="48"/>
        <item x="299"/>
        <item x="130"/>
        <item x="231"/>
        <item x="26"/>
        <item x="76"/>
        <item x="111"/>
        <item x="132"/>
        <item x="208"/>
        <item x="168"/>
        <item x="167"/>
        <item x="34"/>
        <item x="191"/>
        <item x="222"/>
        <item x="149"/>
        <item x="229"/>
        <item x="37"/>
        <item x="65"/>
        <item x="3"/>
        <item x="85"/>
        <item x="166"/>
        <item x="187"/>
        <item x="6"/>
        <item x="265"/>
        <item x="262"/>
        <item x="271"/>
        <item x="147"/>
        <item x="179"/>
        <item x="252"/>
        <item x="259"/>
        <item x="46"/>
        <item x="88"/>
        <item x="257"/>
        <item x="142"/>
        <item x="18"/>
        <item x="269"/>
        <item x="53"/>
        <item x="230"/>
        <item x="268"/>
        <item x="41"/>
        <item x="124"/>
        <item x="60"/>
        <item x="233"/>
        <item x="75"/>
        <item x="192"/>
        <item x="129"/>
        <item x="190"/>
        <item x="213"/>
        <item x="114"/>
        <item x="195"/>
        <item x="11"/>
        <item x="15"/>
        <item x="10"/>
        <item x="178"/>
        <item x="148"/>
        <item x="239"/>
        <item x="82"/>
        <item x="42"/>
        <item x="209"/>
        <item x="181"/>
        <item x="163"/>
        <item x="90"/>
        <item x="273"/>
        <item x="64"/>
        <item x="17"/>
        <item x="93"/>
        <item x="94"/>
        <item x="250"/>
        <item x="134"/>
        <item x="131"/>
        <item x="158"/>
        <item x="253"/>
        <item x="117"/>
        <item x="139"/>
        <item x="39"/>
        <item x="226"/>
        <item x="242"/>
        <item x="89"/>
        <item x="0"/>
        <item x="251"/>
        <item x="106"/>
        <item x="59"/>
        <item x="133"/>
        <item x="145"/>
        <item x="98"/>
        <item x="78"/>
        <item x="204"/>
        <item x="38"/>
        <item x="9"/>
        <item x="84"/>
        <item x="25"/>
        <item x="258"/>
        <item x="244"/>
        <item x="159"/>
        <item x="245"/>
        <item x="136"/>
        <item x="112"/>
        <item x="43"/>
        <item x="51"/>
        <item x="151"/>
        <item x="81"/>
        <item x="289"/>
        <item x="198"/>
        <item x="146"/>
        <item x="140"/>
        <item x="182"/>
        <item x="109"/>
        <item x="150"/>
        <item x="99"/>
        <item x="212"/>
        <item x="189"/>
        <item x="214"/>
        <item x="199"/>
        <item x="219"/>
        <item x="71"/>
        <item x="24"/>
        <item x="249"/>
        <item x="201"/>
        <item x="235"/>
        <item x="215"/>
        <item x="95"/>
        <item x="86"/>
        <item x="27"/>
        <item x="171"/>
        <item x="68"/>
        <item x="205"/>
        <item x="217"/>
        <item x="128"/>
        <item x="154"/>
        <item x="294"/>
        <item x="243"/>
        <item x="96"/>
        <item x="184"/>
        <item x="295"/>
        <item x="61"/>
        <item x="138"/>
        <item x="300"/>
        <item x="301"/>
        <item x="302"/>
        <item x="303"/>
        <item x="304"/>
        <item x="305"/>
        <item x="306"/>
        <item x="307"/>
        <item x="308"/>
        <item x="309"/>
        <item x="310"/>
        <item x="311"/>
        <item x="312"/>
        <item x="313"/>
        <item x="314"/>
        <item x="315"/>
        <item x="316"/>
        <item x="317"/>
        <item x="318"/>
        <item x="319"/>
        <item x="44"/>
        <item x="91"/>
        <item x="87"/>
        <item x="224"/>
        <item x="218"/>
        <item x="270"/>
        <item x="320"/>
      </items>
      <autoSortScope>
        <pivotArea dataOnly="0" outline="0" fieldPosition="0">
          <references count="1">
            <reference field="4294967294" count="1" selected="0">
              <x v="0"/>
            </reference>
          </references>
        </pivotArea>
      </autoSortScope>
    </pivotField>
    <pivotField axis="axisRow" compact="0" outline="0" showAll="0" sortType="descending">
      <items count="321">
        <item x="69"/>
        <item x="117"/>
        <item x="90"/>
        <item x="79"/>
        <item x="301"/>
        <item x="142"/>
        <item x="134"/>
        <item x="209"/>
        <item x="264"/>
        <item x="269"/>
        <item x="159"/>
        <item x="266"/>
        <item x="288"/>
        <item x="22"/>
        <item x="68"/>
        <item x="64"/>
        <item x="119"/>
        <item x="210"/>
        <item x="232"/>
        <item x="178"/>
        <item x="87"/>
        <item x="262"/>
        <item x="179"/>
        <item x="252"/>
        <item x="189"/>
        <item x="302"/>
        <item x="188"/>
        <item x="32"/>
        <item x="106"/>
        <item x="62"/>
        <item x="51"/>
        <item x="223"/>
        <item x="230"/>
        <item x="259"/>
        <item x="49"/>
        <item x="257"/>
        <item x="54"/>
        <item x="82"/>
        <item x="151"/>
        <item x="283"/>
        <item x="40"/>
        <item x="234"/>
        <item x="192"/>
        <item x="7"/>
        <item x="297"/>
        <item x="242"/>
        <item x="91"/>
        <item x="214"/>
        <item x="268"/>
        <item x="273"/>
        <item x="44"/>
        <item x="167"/>
        <item x="303"/>
        <item x="206"/>
        <item x="245"/>
        <item x="272"/>
        <item x="200"/>
        <item x="277"/>
        <item x="20"/>
        <item x="155"/>
        <item x="260"/>
        <item x="45"/>
        <item x="175"/>
        <item x="17"/>
        <item x="71"/>
        <item x="116"/>
        <item x="8"/>
        <item x="149"/>
        <item x="304"/>
        <item x="70"/>
        <item x="248"/>
        <item x="24"/>
        <item x="76"/>
        <item x="85"/>
        <item x="237"/>
        <item x="13"/>
        <item x="105"/>
        <item x="165"/>
        <item x="78"/>
        <item x="220"/>
        <item x="2"/>
        <item x="296"/>
        <item x="222"/>
        <item x="28"/>
        <item x="86"/>
        <item x="180"/>
        <item x="140"/>
        <item x="113"/>
        <item x="11"/>
        <item x="6"/>
        <item x="25"/>
        <item x="225"/>
        <item x="201"/>
        <item x="120"/>
        <item x="114"/>
        <item x="55"/>
        <item x="305"/>
        <item x="306"/>
        <item x="243"/>
        <item x="98"/>
        <item x="53"/>
        <item x="3"/>
        <item x="166"/>
        <item x="307"/>
        <item x="153"/>
        <item x="56"/>
        <item x="143"/>
        <item x="308"/>
        <item x="181"/>
        <item x="173"/>
        <item x="100"/>
        <item x="263"/>
        <item x="309"/>
        <item x="310"/>
        <item x="290"/>
        <item x="16"/>
        <item x="212"/>
        <item x="183"/>
        <item x="298"/>
        <item x="112"/>
        <item x="94"/>
        <item x="29"/>
        <item x="135"/>
        <item x="300"/>
        <item x="169"/>
        <item x="282"/>
        <item x="224"/>
        <item x="240"/>
        <item x="267"/>
        <item x="239"/>
        <item x="271"/>
        <item x="163"/>
        <item x="52"/>
        <item x="246"/>
        <item x="295"/>
        <item x="187"/>
        <item x="10"/>
        <item x="124"/>
        <item x="193"/>
        <item x="81"/>
        <item x="219"/>
        <item x="1"/>
        <item x="66"/>
        <item x="132"/>
        <item x="58"/>
        <item x="156"/>
        <item x="30"/>
        <item x="122"/>
        <item x="221"/>
        <item x="57"/>
        <item x="299"/>
        <item x="67"/>
        <item x="281"/>
        <item x="182"/>
        <item x="154"/>
        <item x="43"/>
        <item x="231"/>
        <item x="77"/>
        <item x="141"/>
        <item x="36"/>
        <item x="253"/>
        <item x="21"/>
        <item x="74"/>
        <item x="93"/>
        <item x="33"/>
        <item x="73"/>
        <item x="27"/>
        <item x="292"/>
        <item x="137"/>
        <item x="89"/>
        <item x="41"/>
        <item x="190"/>
        <item x="311"/>
        <item x="108"/>
        <item x="136"/>
        <item x="293"/>
        <item x="249"/>
        <item x="39"/>
        <item x="202"/>
        <item x="197"/>
        <item x="14"/>
        <item x="176"/>
        <item x="241"/>
        <item x="5"/>
        <item x="278"/>
        <item x="125"/>
        <item x="96"/>
        <item x="227"/>
        <item x="109"/>
        <item x="186"/>
        <item x="95"/>
        <item x="18"/>
        <item x="312"/>
        <item x="185"/>
        <item x="152"/>
        <item x="211"/>
        <item x="215"/>
        <item x="12"/>
        <item x="255"/>
        <item x="217"/>
        <item x="286"/>
        <item x="107"/>
        <item x="72"/>
        <item x="274"/>
        <item x="128"/>
        <item x="83"/>
        <item x="162"/>
        <item x="213"/>
        <item x="65"/>
        <item x="256"/>
        <item x="118"/>
        <item x="133"/>
        <item x="161"/>
        <item x="204"/>
        <item x="50"/>
        <item x="270"/>
        <item x="313"/>
        <item x="158"/>
        <item x="294"/>
        <item x="9"/>
        <item x="123"/>
        <item x="121"/>
        <item x="61"/>
        <item x="184"/>
        <item x="275"/>
        <item x="226"/>
        <item x="198"/>
        <item x="233"/>
        <item x="47"/>
        <item x="216"/>
        <item x="145"/>
        <item x="111"/>
        <item x="196"/>
        <item x="247"/>
        <item x="88"/>
        <item x="258"/>
        <item x="99"/>
        <item x="42"/>
        <item x="157"/>
        <item x="289"/>
        <item x="265"/>
        <item x="287"/>
        <item x="314"/>
        <item x="174"/>
        <item x="203"/>
        <item x="126"/>
        <item x="315"/>
        <item x="171"/>
        <item x="146"/>
        <item x="63"/>
        <item x="279"/>
        <item x="26"/>
        <item x="138"/>
        <item x="316"/>
        <item x="254"/>
        <item x="317"/>
        <item x="168"/>
        <item x="110"/>
        <item x="164"/>
        <item x="285"/>
        <item x="318"/>
        <item x="199"/>
        <item x="207"/>
        <item x="291"/>
        <item x="23"/>
        <item x="160"/>
        <item x="129"/>
        <item x="147"/>
        <item x="276"/>
        <item x="131"/>
        <item x="229"/>
        <item x="115"/>
        <item x="35"/>
        <item x="194"/>
        <item x="75"/>
        <item x="31"/>
        <item x="177"/>
        <item x="92"/>
        <item x="4"/>
        <item x="60"/>
        <item x="150"/>
        <item x="101"/>
        <item x="84"/>
        <item x="97"/>
        <item x="34"/>
        <item x="205"/>
        <item x="195"/>
        <item x="250"/>
        <item x="38"/>
        <item x="59"/>
        <item x="208"/>
        <item x="48"/>
        <item x="228"/>
        <item x="19"/>
        <item x="0"/>
        <item x="235"/>
        <item x="139"/>
        <item x="251"/>
        <item x="103"/>
        <item x="170"/>
        <item x="280"/>
        <item x="261"/>
        <item x="80"/>
        <item x="218"/>
        <item x="191"/>
        <item x="244"/>
        <item x="130"/>
        <item x="104"/>
        <item x="127"/>
        <item x="236"/>
        <item x="37"/>
        <item x="284"/>
        <item x="15"/>
        <item x="238"/>
        <item x="148"/>
        <item x="172"/>
        <item x="102"/>
        <item x="46"/>
        <item x="144"/>
        <item x="319"/>
        <item t="default"/>
      </items>
      <autoSortScope>
        <pivotArea dataOnly="0" outline="0" fieldPosition="0">
          <references count="1">
            <reference field="4294967294" count="1" selected="0">
              <x v="0"/>
            </reference>
          </references>
        </pivotArea>
      </autoSortScope>
    </pivotField>
    <pivotField compact="0" outline="0" showAll="0">
      <items count="7">
        <item h="1" x="1"/>
        <item h="1" x="4"/>
        <item h="1" x="5"/>
        <item h="1" x="3"/>
        <item x="0"/>
        <item h="1" x="2"/>
        <item t="default"/>
      </items>
    </pivotField>
    <pivotField dataField="1" compact="0" outline="0" showAll="0"/>
    <pivotField compact="0" numFmtId="14" outline="0" showAll="0"/>
    <pivotField compact="0" outline="0" showAll="0"/>
    <pivotField compact="0" outline="0" showAll="0"/>
    <pivotField compact="0" outline="0" showAll="0"/>
  </pivotFields>
  <rowFields count="2">
    <field x="1"/>
    <field x="2"/>
  </rowFields>
  <rowItems count="11">
    <i>
      <x v="128"/>
      <x v="147"/>
    </i>
    <i>
      <x v="222"/>
      <x v="63"/>
    </i>
    <i>
      <x v="130"/>
      <x v="145"/>
    </i>
    <i>
      <x v="236"/>
      <x v="294"/>
    </i>
    <i>
      <x v="156"/>
      <x v="157"/>
    </i>
    <i>
      <x v="242"/>
      <x v="99"/>
    </i>
    <i>
      <x v="100"/>
      <x v="151"/>
    </i>
    <i>
      <x v="124"/>
      <x v="82"/>
    </i>
    <i>
      <x v="95"/>
      <x v="275"/>
    </i>
    <i>
      <x v="55"/>
      <x v="302"/>
    </i>
    <i t="grand">
      <x/>
    </i>
  </rowItems>
  <colItems count="1">
    <i/>
  </colItems>
  <dataFields count="1">
    <dataField name="Salary " fld="4" baseField="0" baseItem="0" numFmtId="164"/>
  </dataFields>
  <formats count="1">
    <format dxfId="4">
      <pivotArea outline="0" collapsedLevelsAreSubtotals="1" fieldPosition="0"/>
    </format>
  </formats>
  <pivotTableStyleInfo name="XelPlus Neat Earner"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1A7842-11A0-4D7C-A772-FF6DFC633F92}"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5:J12" firstHeaderRow="1" firstDataRow="1" firstDataCol="1"/>
  <pivotFields count="9">
    <pivotField showAll="0"/>
    <pivotField dataField="1" showAll="0"/>
    <pivotField showAll="0"/>
    <pivotField axis="axisRow" showAll="0">
      <items count="7">
        <item n="💰Finance" x="1"/>
        <item n="🧑‍🦲HR" x="4"/>
        <item n="💻 IT" x="5"/>
        <item n="📈 Marketing" x="3"/>
        <item n="⚙️ Operations" x="0"/>
        <item n="💼 Sales" x="2"/>
        <item t="default"/>
      </items>
    </pivotField>
    <pivotField showAll="0"/>
    <pivotField numFmtId="14" showAll="0"/>
    <pivotField showAll="0"/>
    <pivotField showAll="0"/>
    <pivotField showAll="0"/>
  </pivotFields>
  <rowFields count="1">
    <field x="3"/>
  </rowFields>
  <rowItems count="7">
    <i>
      <x/>
    </i>
    <i>
      <x v="1"/>
    </i>
    <i>
      <x v="2"/>
    </i>
    <i>
      <x v="3"/>
    </i>
    <i>
      <x v="4"/>
    </i>
    <i>
      <x v="5"/>
    </i>
    <i t="grand">
      <x/>
    </i>
  </rowItems>
  <colItems count="1">
    <i/>
  </colItems>
  <dataFields count="1">
    <dataField name="Headcount" fld="1" subtotal="count"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E9332F-B0E2-470B-84F2-8CAE6252538A}"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5:G6" firstHeaderRow="0" firstDataRow="1" firstDataCol="0"/>
  <pivotFields count="9">
    <pivotField showAll="0"/>
    <pivotField dataField="1" showAll="0"/>
    <pivotField showAll="0"/>
    <pivotField showAll="0"/>
    <pivotField dataField="1" showAll="0"/>
    <pivotField numFmtId="14" showAll="0"/>
    <pivotField dataField="1" showAll="0"/>
    <pivotField showAll="0"/>
    <pivotField showAll="0"/>
  </pivotFields>
  <rowItems count="1">
    <i/>
  </rowItems>
  <colFields count="1">
    <field x="-2"/>
  </colFields>
  <colItems count="4">
    <i>
      <x/>
    </i>
    <i i="1">
      <x v="1"/>
    </i>
    <i i="2">
      <x v="2"/>
    </i>
    <i i="3">
      <x v="3"/>
    </i>
  </colItems>
  <dataFields count="4">
    <dataField name="Headcount" fld="1" subtotal="count" baseField="0" baseItem="0"/>
    <dataField name="FTE " fld="6" baseField="0" baseItem="0"/>
    <dataField name="Average Salary" fld="4" subtotal="average" baseField="0" baseItem="0" numFmtId="164"/>
    <dataField name="Max. of Salary" fld="4" subtotal="max" baseField="0" baseItem="0" numFmtId="164"/>
  </dataFields>
  <formats count="1">
    <format dxfId="0">
      <pivotArea outline="0" collapsedLevelsAreSubtotals="1" fieldPosition="0">
        <references count="1">
          <reference field="4294967294" count="2" selected="0">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2A0F4C-0F43-482B-92BF-DF73D0215F29}"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19:K21" firstHeaderRow="1" firstDataRow="1" firstDataCol="1"/>
  <pivotFields count="9">
    <pivotField showAll="0"/>
    <pivotField showAll="0"/>
    <pivotField showAll="0"/>
    <pivotField axis="axisRow" showAll="0">
      <items count="7">
        <item n="💰Finance" h="1" x="1"/>
        <item n="🧑‍🦲HR" h="1" x="4"/>
        <item n="💻 IT" h="1" x="5"/>
        <item n="📈 Marketing" h="1" x="3"/>
        <item n="⚙️ Operations" x="0"/>
        <item n="💼 Sales" h="1" x="2"/>
        <item t="default"/>
      </items>
    </pivotField>
    <pivotField showAll="0"/>
    <pivotField numFmtId="14" showAll="0"/>
    <pivotField showAll="0"/>
    <pivotField showAll="0"/>
    <pivotField showAll="0"/>
  </pivotFields>
  <rowFields count="1">
    <field x="3"/>
  </rowFields>
  <rowItems count="2">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3AF09A-B3B7-49AC-B319-65A36F854AD1}" name="PivotTable2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D18:E23" firstHeaderRow="1" firstDataRow="1" firstDataCol="1"/>
  <pivotFields count="9">
    <pivotField showAll="0"/>
    <pivotField dataField="1" showAll="0"/>
    <pivotField showAll="0"/>
    <pivotField showAll="0">
      <items count="7">
        <item h="1" x="1"/>
        <item h="1" x="4"/>
        <item h="1" x="5"/>
        <item h="1" x="3"/>
        <item x="0"/>
        <item h="1" x="2"/>
        <item t="default"/>
      </items>
    </pivotField>
    <pivotField showAll="0"/>
    <pivotField numFmtId="14" showAll="0"/>
    <pivotField showAll="0"/>
    <pivotField showAll="0"/>
    <pivotField axis="axisRow" showAll="0">
      <items count="13">
        <item x="0"/>
        <item x="9"/>
        <item x="7"/>
        <item x="8"/>
        <item x="5"/>
        <item x="3"/>
        <item x="4"/>
        <item x="1"/>
        <item x="2"/>
        <item x="6"/>
        <item x="10"/>
        <item x="11"/>
        <item t="default"/>
      </items>
    </pivotField>
  </pivotFields>
  <rowFields count="1">
    <field x="8"/>
  </rowFields>
  <rowItems count="5">
    <i>
      <x/>
    </i>
    <i>
      <x v="2"/>
    </i>
    <i>
      <x v="4"/>
    </i>
    <i>
      <x v="7"/>
    </i>
    <i>
      <x v="8"/>
    </i>
  </rowItems>
  <colItems count="1">
    <i/>
  </colItems>
  <dataFields count="1">
    <dataField name="Headcount"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A204AB-E0E5-4BBA-AF20-564526BF852A}"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L5:M9" firstHeaderRow="1" firstDataRow="1" firstDataCol="1"/>
  <pivotFields count="9">
    <pivotField showAll="0"/>
    <pivotField dataField="1" showAll="0"/>
    <pivotField showAll="0"/>
    <pivotField showAll="0"/>
    <pivotField showAll="0"/>
    <pivotField numFmtId="14"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s>
  <rowFields count="1">
    <field x="7"/>
  </rowFields>
  <rowItems count="4">
    <i>
      <x v="1"/>
    </i>
    <i>
      <x/>
    </i>
    <i>
      <x v="2"/>
    </i>
    <i t="grand">
      <x/>
    </i>
  </rowItems>
  <colItems count="1">
    <i/>
  </colItems>
  <dataFields count="1">
    <dataField name="Headcount" fld="1" subtotal="count" baseField="0" baseItem="0"/>
  </dataFields>
  <chartFormats count="6">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7" count="1" selected="0">
            <x v="1"/>
          </reference>
        </references>
      </pivotArea>
    </chartFormat>
    <chartFormat chart="9" format="10">
      <pivotArea type="data" outline="0" fieldPosition="0">
        <references count="2">
          <reference field="4294967294" count="1" selected="0">
            <x v="0"/>
          </reference>
          <reference field="7" count="1" selected="0">
            <x v="0"/>
          </reference>
        </references>
      </pivotArea>
    </chartFormat>
    <chartFormat chart="9"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E545B30-0A88-44BD-8E44-1BB816506D1E}" sourceName="Department">
  <pivotTables>
    <pivotTable tabId="4" name="PivotTable28"/>
    <pivotTable tabId="3" name="PivotTable29"/>
    <pivotTable tabId="3" name="PivotTable30"/>
  </pivotTables>
  <data>
    <tabular pivotCacheId="1517120492">
      <items count="6">
        <i x="0" s="1"/>
        <i x="1"/>
        <i x="5"/>
        <i x="2"/>
        <i x="3"/>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A5E7CCC2-B5F1-4E2E-A880-2EC13CC8E981}" cache="Slicer_Department" caption="Department" columnCount="6" style="HR Slicer"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DB61EB4-CCEF-468E-9E58-5691EC9145F0}" name="TEmployees" displayName="TEmployees" ref="A1:I322" totalsRowShown="0" headerRowDxfId="3" headerRowBorderDxfId="2">
  <autoFilter ref="A1:I322" xr:uid="{BDB61EB4-CCEF-468E-9E58-5691EC9145F0}"/>
  <tableColumns count="9">
    <tableColumn id="1" xr3:uid="{9B8ACE15-9F43-4B22-895E-E2B0C589353A}" name="Cost Centre"/>
    <tableColumn id="2" xr3:uid="{55B5D70D-8DE8-4B7D-9956-F9B372F1B582}" name="Employee ID"/>
    <tableColumn id="3" xr3:uid="{081C83F6-212F-4FEA-9CCE-B43259A761ED}" name="Name"/>
    <tableColumn id="4" xr3:uid="{86A83B08-ED9B-4F7C-8F32-C14310F717C7}" name="Department"/>
    <tableColumn id="5" xr3:uid="{DB9588D4-B687-46BD-ACAF-02E323EC88F8}" name="Salary"/>
    <tableColumn id="6" xr3:uid="{94CE8E15-DA03-44EC-AACD-AEF80C4C3110}" name="Start Date" dataDxfId="1"/>
    <tableColumn id="7" xr3:uid="{7673A924-9346-4C80-9147-BC642D7FB5F6}" name="FTE"/>
    <tableColumn id="8" xr3:uid="{A3180F7C-4092-4656-8CB6-1C8F1EB56AC0}" name="Employment type"/>
    <tableColumn id="9" xr3:uid="{1338D67E-9DC3-4288-92F7-14C244633183}" name="Stat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AD237-85B3-4CF3-95B9-F885589D704C}">
  <sheetPr>
    <tabColor theme="9" tint="0.39997558519241921"/>
  </sheetPr>
  <dimension ref="A1:O42"/>
  <sheetViews>
    <sheetView showGridLines="0" topLeftCell="A7" zoomScale="70" zoomScaleNormal="70" workbookViewId="0">
      <selection activeCell="C30" sqref="C30"/>
    </sheetView>
  </sheetViews>
  <sheetFormatPr defaultColWidth="0" defaultRowHeight="15.6" zeroHeight="1" x14ac:dyDescent="0.3"/>
  <cols>
    <col min="1" max="1" width="8.796875" customWidth="1"/>
    <col min="2" max="2" width="1.59765625" customWidth="1"/>
    <col min="3" max="3" width="16.8984375" customWidth="1"/>
    <col min="4" max="4" width="16.69921875" customWidth="1"/>
    <col min="5" max="15" width="8.796875" customWidth="1"/>
    <col min="16" max="16384" width="8.796875" hidden="1"/>
  </cols>
  <sheetData>
    <row r="1" spans="2:9" x14ac:dyDescent="0.3"/>
    <row r="2" spans="2:9" x14ac:dyDescent="0.3"/>
    <row r="3" spans="2:9" x14ac:dyDescent="0.3"/>
    <row r="4" spans="2:9" x14ac:dyDescent="0.3"/>
    <row r="5" spans="2:9" x14ac:dyDescent="0.3"/>
    <row r="6" spans="2:9" x14ac:dyDescent="0.3"/>
    <row r="7" spans="2:9" x14ac:dyDescent="0.3">
      <c r="B7" t="s">
        <v>380</v>
      </c>
      <c r="I7" t="s">
        <v>381</v>
      </c>
    </row>
    <row r="8" spans="2:9" x14ac:dyDescent="0.3"/>
    <row r="9" spans="2:9" x14ac:dyDescent="0.3"/>
    <row r="10" spans="2:9" x14ac:dyDescent="0.3"/>
    <row r="11" spans="2:9" x14ac:dyDescent="0.3"/>
    <row r="12" spans="2:9" x14ac:dyDescent="0.3"/>
    <row r="13" spans="2:9" x14ac:dyDescent="0.3"/>
    <row r="14" spans="2:9" x14ac:dyDescent="0.3"/>
    <row r="15" spans="2:9" x14ac:dyDescent="0.3"/>
    <row r="16" spans="2:9" x14ac:dyDescent="0.3"/>
    <row r="17" spans="2:6" x14ac:dyDescent="0.3"/>
    <row r="18" spans="2:6" x14ac:dyDescent="0.3"/>
    <row r="19" spans="2:6" x14ac:dyDescent="0.3"/>
    <row r="20" spans="2:6" x14ac:dyDescent="0.3"/>
    <row r="21" spans="2:6" x14ac:dyDescent="0.3"/>
    <row r="22" spans="2:6" x14ac:dyDescent="0.3"/>
    <row r="23" spans="2:6" x14ac:dyDescent="0.3"/>
    <row r="24" spans="2:6" x14ac:dyDescent="0.3"/>
    <row r="25" spans="2:6" x14ac:dyDescent="0.3">
      <c r="B25" t="s">
        <v>384</v>
      </c>
      <c r="F25" t="s">
        <v>385</v>
      </c>
    </row>
    <row r="26" spans="2:6" x14ac:dyDescent="0.3"/>
    <row r="27" spans="2:6" x14ac:dyDescent="0.3">
      <c r="D27" t="s">
        <v>382</v>
      </c>
    </row>
    <row r="28" spans="2:6" x14ac:dyDescent="0.3">
      <c r="B28">
        <v>49380</v>
      </c>
      <c r="C28" t="s">
        <v>157</v>
      </c>
      <c r="D28" s="6">
        <v>119365.66</v>
      </c>
    </row>
    <row r="29" spans="2:6" x14ac:dyDescent="0.3">
      <c r="B29">
        <v>75239</v>
      </c>
      <c r="C29" t="s">
        <v>46</v>
      </c>
      <c r="D29" s="6">
        <v>118803.53</v>
      </c>
    </row>
    <row r="30" spans="2:6" x14ac:dyDescent="0.3">
      <c r="B30">
        <v>49641</v>
      </c>
      <c r="C30" t="s">
        <v>191</v>
      </c>
      <c r="D30" s="6">
        <v>115524.15</v>
      </c>
    </row>
    <row r="31" spans="2:6" x14ac:dyDescent="0.3">
      <c r="B31">
        <v>78557</v>
      </c>
      <c r="C31" t="s">
        <v>10</v>
      </c>
      <c r="D31" s="6">
        <v>114865.23</v>
      </c>
    </row>
    <row r="32" spans="2:6" x14ac:dyDescent="0.3">
      <c r="B32">
        <v>57401</v>
      </c>
      <c r="C32" t="s">
        <v>111</v>
      </c>
      <c r="D32" s="6">
        <v>114217.93</v>
      </c>
    </row>
    <row r="33" spans="2:4" x14ac:dyDescent="0.3">
      <c r="B33">
        <v>81147</v>
      </c>
      <c r="C33" t="s">
        <v>132</v>
      </c>
      <c r="D33" s="6">
        <v>110409.16</v>
      </c>
    </row>
    <row r="34" spans="2:4" x14ac:dyDescent="0.3">
      <c r="B34">
        <v>37162</v>
      </c>
      <c r="C34" t="s">
        <v>101</v>
      </c>
      <c r="D34" s="6">
        <v>103745.48</v>
      </c>
    </row>
    <row r="35" spans="2:4" x14ac:dyDescent="0.3">
      <c r="B35">
        <v>48509</v>
      </c>
      <c r="C35" t="s">
        <v>258</v>
      </c>
      <c r="D35" s="6">
        <v>100935.97</v>
      </c>
    </row>
    <row r="36" spans="2:4" x14ac:dyDescent="0.3">
      <c r="B36">
        <v>35957</v>
      </c>
      <c r="C36" t="s">
        <v>63</v>
      </c>
      <c r="D36" s="6">
        <v>99877.79</v>
      </c>
    </row>
    <row r="37" spans="2:4" x14ac:dyDescent="0.3">
      <c r="B37">
        <v>23729</v>
      </c>
      <c r="C37" t="s">
        <v>114</v>
      </c>
      <c r="D37" s="6">
        <v>99643.69</v>
      </c>
    </row>
    <row r="38" spans="2:4" x14ac:dyDescent="0.3">
      <c r="B38" t="s">
        <v>383</v>
      </c>
      <c r="D38" s="6">
        <v>1097388.5899999999</v>
      </c>
    </row>
    <row r="39" spans="2:4" x14ac:dyDescent="0.3"/>
    <row r="40" spans="2:4" x14ac:dyDescent="0.3"/>
    <row r="41" spans="2:4" x14ac:dyDescent="0.3"/>
    <row r="42" spans="2:4" x14ac:dyDescent="0.3"/>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AB9F2-EC3A-4279-9686-F42FFBF505E7}">
  <dimension ref="A1:I322"/>
  <sheetViews>
    <sheetView workbookViewId="0">
      <selection activeCell="I323" sqref="I323"/>
    </sheetView>
  </sheetViews>
  <sheetFormatPr defaultRowHeight="15.6" x14ac:dyDescent="0.3"/>
  <cols>
    <col min="1" max="1" width="12.296875" customWidth="1"/>
    <col min="2" max="2" width="12.796875" customWidth="1"/>
    <col min="3" max="3" width="16.5" bestFit="1" customWidth="1"/>
    <col min="4" max="4" width="12.3984375" customWidth="1"/>
    <col min="5" max="5" width="9.69921875" bestFit="1" customWidth="1"/>
    <col min="6" max="6" width="11.3984375" customWidth="1"/>
    <col min="7" max="7" width="6.3984375" customWidth="1"/>
    <col min="8" max="8" width="16.8984375" customWidth="1"/>
    <col min="9" max="9" width="10.09765625" bestFit="1" customWidth="1"/>
  </cols>
  <sheetData>
    <row r="1" spans="1:9" x14ac:dyDescent="0.3">
      <c r="A1" s="2" t="s">
        <v>1</v>
      </c>
      <c r="B1" s="2" t="s">
        <v>2</v>
      </c>
      <c r="C1" s="2" t="s">
        <v>3</v>
      </c>
      <c r="D1" s="2" t="s">
        <v>0</v>
      </c>
      <c r="E1" s="2" t="s">
        <v>4</v>
      </c>
      <c r="F1" s="2" t="s">
        <v>5</v>
      </c>
      <c r="G1" s="2" t="s">
        <v>6</v>
      </c>
      <c r="H1" s="2" t="s">
        <v>7</v>
      </c>
      <c r="I1" s="2" t="s">
        <v>8</v>
      </c>
    </row>
    <row r="2" spans="1:9" x14ac:dyDescent="0.3">
      <c r="A2" t="s">
        <v>9</v>
      </c>
      <c r="B2">
        <v>78557</v>
      </c>
      <c r="C2" t="s">
        <v>10</v>
      </c>
      <c r="D2" t="s">
        <v>11</v>
      </c>
      <c r="E2">
        <v>114865.23</v>
      </c>
      <c r="F2" s="1">
        <v>44306</v>
      </c>
      <c r="G2">
        <v>1</v>
      </c>
      <c r="H2" t="s">
        <v>12</v>
      </c>
      <c r="I2" t="s">
        <v>13</v>
      </c>
    </row>
    <row r="3" spans="1:9" x14ac:dyDescent="0.3">
      <c r="A3" t="s">
        <v>14</v>
      </c>
      <c r="B3">
        <v>19288</v>
      </c>
      <c r="C3" t="s">
        <v>15</v>
      </c>
      <c r="D3" t="s">
        <v>16</v>
      </c>
      <c r="E3">
        <v>57252.44</v>
      </c>
      <c r="F3" s="1">
        <v>43867</v>
      </c>
      <c r="G3">
        <v>0.75</v>
      </c>
      <c r="H3" t="s">
        <v>17</v>
      </c>
      <c r="I3" t="s">
        <v>18</v>
      </c>
    </row>
    <row r="4" spans="1:9" x14ac:dyDescent="0.3">
      <c r="A4" t="s">
        <v>19</v>
      </c>
      <c r="B4">
        <v>49671</v>
      </c>
      <c r="C4" t="s">
        <v>20</v>
      </c>
      <c r="D4" t="s">
        <v>21</v>
      </c>
      <c r="E4">
        <v>66726.59</v>
      </c>
      <c r="F4" s="1">
        <v>43237</v>
      </c>
      <c r="G4">
        <v>0.75</v>
      </c>
      <c r="H4" t="s">
        <v>17</v>
      </c>
      <c r="I4" t="s">
        <v>13</v>
      </c>
    </row>
    <row r="5" spans="1:9" x14ac:dyDescent="0.3">
      <c r="A5" t="s">
        <v>22</v>
      </c>
      <c r="B5">
        <v>62844</v>
      </c>
      <c r="C5" t="s">
        <v>23</v>
      </c>
      <c r="D5" t="s">
        <v>24</v>
      </c>
      <c r="E5">
        <v>102903.38</v>
      </c>
      <c r="F5" s="1">
        <v>44938</v>
      </c>
      <c r="G5">
        <v>1</v>
      </c>
      <c r="H5" t="s">
        <v>12</v>
      </c>
      <c r="I5" t="s">
        <v>13</v>
      </c>
    </row>
    <row r="6" spans="1:9" x14ac:dyDescent="0.3">
      <c r="A6" t="s">
        <v>25</v>
      </c>
      <c r="B6">
        <v>53059</v>
      </c>
      <c r="C6" t="s">
        <v>26</v>
      </c>
      <c r="D6" t="s">
        <v>21</v>
      </c>
      <c r="E6">
        <v>35603.29</v>
      </c>
      <c r="F6" s="1">
        <v>44619</v>
      </c>
      <c r="G6">
        <v>1</v>
      </c>
      <c r="H6" t="s">
        <v>17</v>
      </c>
      <c r="I6" t="s">
        <v>13</v>
      </c>
    </row>
    <row r="7" spans="1:9" x14ac:dyDescent="0.3">
      <c r="A7" t="s">
        <v>27</v>
      </c>
      <c r="B7">
        <v>49220</v>
      </c>
      <c r="C7" t="s">
        <v>28</v>
      </c>
      <c r="D7" t="s">
        <v>24</v>
      </c>
      <c r="E7">
        <v>87688.639999999999</v>
      </c>
      <c r="F7" s="1">
        <v>42031</v>
      </c>
      <c r="G7">
        <v>0.75</v>
      </c>
      <c r="H7" t="s">
        <v>17</v>
      </c>
      <c r="I7" t="s">
        <v>13</v>
      </c>
    </row>
    <row r="8" spans="1:9" x14ac:dyDescent="0.3">
      <c r="A8" t="s">
        <v>19</v>
      </c>
      <c r="B8">
        <v>64358</v>
      </c>
      <c r="C8" t="s">
        <v>29</v>
      </c>
      <c r="D8" t="s">
        <v>24</v>
      </c>
      <c r="E8">
        <v>41458.870000000003</v>
      </c>
      <c r="F8" s="1">
        <v>44771</v>
      </c>
      <c r="G8">
        <v>0.5</v>
      </c>
      <c r="H8" t="s">
        <v>12</v>
      </c>
      <c r="I8" t="s">
        <v>13</v>
      </c>
    </row>
    <row r="9" spans="1:9" x14ac:dyDescent="0.3">
      <c r="A9" t="s">
        <v>22</v>
      </c>
      <c r="B9">
        <v>24241</v>
      </c>
      <c r="C9" t="s">
        <v>30</v>
      </c>
      <c r="D9" t="s">
        <v>31</v>
      </c>
      <c r="E9">
        <v>55837.95</v>
      </c>
      <c r="F9" s="1">
        <v>42421</v>
      </c>
      <c r="G9">
        <v>0.75</v>
      </c>
      <c r="H9" t="s">
        <v>17</v>
      </c>
      <c r="I9" t="s">
        <v>13</v>
      </c>
    </row>
    <row r="10" spans="1:9" x14ac:dyDescent="0.3">
      <c r="A10" t="s">
        <v>14</v>
      </c>
      <c r="B10">
        <v>23028</v>
      </c>
      <c r="C10" t="s">
        <v>32</v>
      </c>
      <c r="D10" t="s">
        <v>31</v>
      </c>
      <c r="E10">
        <v>104694.66</v>
      </c>
      <c r="F10" s="1">
        <v>43458</v>
      </c>
      <c r="G10">
        <v>1</v>
      </c>
      <c r="H10" t="s">
        <v>17</v>
      </c>
      <c r="I10" t="s">
        <v>13</v>
      </c>
    </row>
    <row r="11" spans="1:9" x14ac:dyDescent="0.3">
      <c r="A11" t="s">
        <v>33</v>
      </c>
      <c r="B11">
        <v>83509</v>
      </c>
      <c r="C11" t="s">
        <v>34</v>
      </c>
      <c r="D11" t="s">
        <v>21</v>
      </c>
      <c r="E11">
        <v>34997.43</v>
      </c>
      <c r="F11" s="1">
        <v>44942</v>
      </c>
      <c r="G11">
        <v>1</v>
      </c>
      <c r="H11" t="s">
        <v>35</v>
      </c>
      <c r="I11" t="s">
        <v>13</v>
      </c>
    </row>
    <row r="12" spans="1:9" x14ac:dyDescent="0.3">
      <c r="A12" t="s">
        <v>25</v>
      </c>
      <c r="B12">
        <v>73068</v>
      </c>
      <c r="C12" t="s">
        <v>36</v>
      </c>
      <c r="D12" t="s">
        <v>37</v>
      </c>
      <c r="E12">
        <v>33234.050000000003</v>
      </c>
      <c r="F12" s="1">
        <v>44835</v>
      </c>
      <c r="G12">
        <v>0.5</v>
      </c>
      <c r="H12" t="s">
        <v>17</v>
      </c>
      <c r="I12" t="s">
        <v>13</v>
      </c>
    </row>
    <row r="13" spans="1:9" x14ac:dyDescent="0.3">
      <c r="A13" t="s">
        <v>38</v>
      </c>
      <c r="B13">
        <v>72128</v>
      </c>
      <c r="C13" t="s">
        <v>39</v>
      </c>
      <c r="D13" t="s">
        <v>37</v>
      </c>
      <c r="E13">
        <v>67607.94</v>
      </c>
      <c r="F13" s="1">
        <v>45211</v>
      </c>
      <c r="G13">
        <v>0.5</v>
      </c>
      <c r="H13" t="s">
        <v>17</v>
      </c>
      <c r="I13" t="s">
        <v>18</v>
      </c>
    </row>
    <row r="14" spans="1:9" x14ac:dyDescent="0.3">
      <c r="A14" t="s">
        <v>14</v>
      </c>
      <c r="B14">
        <v>54181</v>
      </c>
      <c r="C14" t="s">
        <v>40</v>
      </c>
      <c r="D14" t="s">
        <v>21</v>
      </c>
      <c r="E14">
        <v>74264.789999999994</v>
      </c>
      <c r="F14" s="1">
        <v>44237</v>
      </c>
      <c r="G14">
        <v>0.75</v>
      </c>
      <c r="H14" t="s">
        <v>17</v>
      </c>
      <c r="I14" t="s">
        <v>41</v>
      </c>
    </row>
    <row r="15" spans="1:9" x14ac:dyDescent="0.3">
      <c r="A15" t="s">
        <v>19</v>
      </c>
      <c r="B15">
        <v>55043</v>
      </c>
      <c r="C15" t="s">
        <v>42</v>
      </c>
      <c r="D15" t="s">
        <v>31</v>
      </c>
      <c r="E15">
        <v>107699.27</v>
      </c>
      <c r="F15" s="1">
        <v>44726</v>
      </c>
      <c r="G15">
        <v>1</v>
      </c>
      <c r="H15" t="s">
        <v>12</v>
      </c>
      <c r="I15" t="s">
        <v>13</v>
      </c>
    </row>
    <row r="16" spans="1:9" x14ac:dyDescent="0.3">
      <c r="A16" t="s">
        <v>38</v>
      </c>
      <c r="B16">
        <v>26295</v>
      </c>
      <c r="C16" t="s">
        <v>43</v>
      </c>
      <c r="D16" t="s">
        <v>21</v>
      </c>
      <c r="E16">
        <v>94546.99</v>
      </c>
      <c r="F16" s="1">
        <v>43437</v>
      </c>
      <c r="G16">
        <v>0.5</v>
      </c>
      <c r="H16" t="s">
        <v>17</v>
      </c>
      <c r="I16" t="s">
        <v>18</v>
      </c>
    </row>
    <row r="17" spans="1:9" x14ac:dyDescent="0.3">
      <c r="A17" t="s">
        <v>25</v>
      </c>
      <c r="B17">
        <v>72794</v>
      </c>
      <c r="C17" t="s">
        <v>44</v>
      </c>
      <c r="D17" t="s">
        <v>16</v>
      </c>
      <c r="E17">
        <v>90618.94</v>
      </c>
      <c r="F17" s="1">
        <v>42913</v>
      </c>
      <c r="G17">
        <v>0.5</v>
      </c>
      <c r="H17" t="s">
        <v>17</v>
      </c>
      <c r="I17" t="s">
        <v>13</v>
      </c>
    </row>
    <row r="18" spans="1:9" x14ac:dyDescent="0.3">
      <c r="A18" t="s">
        <v>33</v>
      </c>
      <c r="B18">
        <v>25205</v>
      </c>
      <c r="C18" t="s">
        <v>45</v>
      </c>
      <c r="D18" t="s">
        <v>24</v>
      </c>
      <c r="E18">
        <v>43623.64</v>
      </c>
      <c r="F18" s="1">
        <v>43216</v>
      </c>
      <c r="G18">
        <v>1</v>
      </c>
      <c r="H18" t="s">
        <v>17</v>
      </c>
      <c r="I18" t="s">
        <v>41</v>
      </c>
    </row>
    <row r="19" spans="1:9" x14ac:dyDescent="0.3">
      <c r="A19" t="s">
        <v>22</v>
      </c>
      <c r="B19">
        <v>75239</v>
      </c>
      <c r="C19" t="s">
        <v>46</v>
      </c>
      <c r="D19" t="s">
        <v>11</v>
      </c>
      <c r="E19">
        <v>118803.53</v>
      </c>
      <c r="F19" s="1">
        <v>45150</v>
      </c>
      <c r="G19">
        <v>1</v>
      </c>
      <c r="H19" t="s">
        <v>12</v>
      </c>
      <c r="I19" t="s">
        <v>13</v>
      </c>
    </row>
    <row r="20" spans="1:9" x14ac:dyDescent="0.3">
      <c r="A20" t="s">
        <v>47</v>
      </c>
      <c r="B20">
        <v>65906</v>
      </c>
      <c r="C20" t="s">
        <v>48</v>
      </c>
      <c r="D20" t="s">
        <v>31</v>
      </c>
      <c r="E20">
        <v>67002.62</v>
      </c>
      <c r="F20" s="1">
        <v>44052</v>
      </c>
      <c r="G20">
        <v>0.75</v>
      </c>
      <c r="H20" t="s">
        <v>17</v>
      </c>
      <c r="I20" t="s">
        <v>13</v>
      </c>
    </row>
    <row r="21" spans="1:9" x14ac:dyDescent="0.3">
      <c r="A21" t="s">
        <v>38</v>
      </c>
      <c r="B21">
        <v>14957</v>
      </c>
      <c r="C21" t="s">
        <v>49</v>
      </c>
      <c r="D21" t="s">
        <v>11</v>
      </c>
      <c r="E21">
        <v>85059.38</v>
      </c>
      <c r="F21" s="1">
        <v>42780</v>
      </c>
      <c r="G21">
        <v>1</v>
      </c>
      <c r="H21" t="s">
        <v>17</v>
      </c>
      <c r="I21" t="s">
        <v>13</v>
      </c>
    </row>
    <row r="22" spans="1:9" x14ac:dyDescent="0.3">
      <c r="A22" t="s">
        <v>22</v>
      </c>
      <c r="B22">
        <v>49571</v>
      </c>
      <c r="C22" t="s">
        <v>50</v>
      </c>
      <c r="D22" t="s">
        <v>16</v>
      </c>
      <c r="E22">
        <v>64801.47</v>
      </c>
      <c r="F22" s="1">
        <v>43668</v>
      </c>
      <c r="G22">
        <v>0.5</v>
      </c>
      <c r="H22" t="s">
        <v>17</v>
      </c>
      <c r="I22" t="s">
        <v>13</v>
      </c>
    </row>
    <row r="23" spans="1:9" x14ac:dyDescent="0.3">
      <c r="A23" t="s">
        <v>38</v>
      </c>
      <c r="B23">
        <v>53919</v>
      </c>
      <c r="C23" t="s">
        <v>51</v>
      </c>
      <c r="D23" t="s">
        <v>31</v>
      </c>
      <c r="E23">
        <v>34232.959999999999</v>
      </c>
      <c r="F23" s="1">
        <v>42681</v>
      </c>
      <c r="G23">
        <v>0.5</v>
      </c>
      <c r="H23" t="s">
        <v>17</v>
      </c>
      <c r="I23" t="s">
        <v>13</v>
      </c>
    </row>
    <row r="24" spans="1:9" x14ac:dyDescent="0.3">
      <c r="A24" t="s">
        <v>25</v>
      </c>
      <c r="B24">
        <v>30403</v>
      </c>
      <c r="C24" t="s">
        <v>52</v>
      </c>
      <c r="D24" t="s">
        <v>21</v>
      </c>
      <c r="E24">
        <v>72380.03</v>
      </c>
      <c r="F24" s="1">
        <v>44628</v>
      </c>
      <c r="G24">
        <v>1</v>
      </c>
      <c r="H24" t="s">
        <v>12</v>
      </c>
      <c r="I24" t="s">
        <v>13</v>
      </c>
    </row>
    <row r="25" spans="1:9" x14ac:dyDescent="0.3">
      <c r="A25" t="s">
        <v>27</v>
      </c>
      <c r="B25">
        <v>31830</v>
      </c>
      <c r="C25" t="s">
        <v>53</v>
      </c>
      <c r="D25" t="s">
        <v>11</v>
      </c>
      <c r="E25">
        <v>43623.1</v>
      </c>
      <c r="F25" s="1">
        <v>42216</v>
      </c>
      <c r="G25">
        <v>1</v>
      </c>
      <c r="H25" t="s">
        <v>17</v>
      </c>
      <c r="I25" t="s">
        <v>13</v>
      </c>
    </row>
    <row r="26" spans="1:9" x14ac:dyDescent="0.3">
      <c r="A26" t="s">
        <v>19</v>
      </c>
      <c r="B26">
        <v>92148</v>
      </c>
      <c r="C26" t="s">
        <v>54</v>
      </c>
      <c r="D26" t="s">
        <v>21</v>
      </c>
      <c r="E26">
        <v>32921.89</v>
      </c>
      <c r="F26" s="1">
        <v>42214</v>
      </c>
      <c r="G26">
        <v>0.5</v>
      </c>
      <c r="H26" t="s">
        <v>17</v>
      </c>
      <c r="I26" t="s">
        <v>13</v>
      </c>
    </row>
    <row r="27" spans="1:9" x14ac:dyDescent="0.3">
      <c r="A27" t="s">
        <v>14</v>
      </c>
      <c r="B27">
        <v>83988</v>
      </c>
      <c r="C27" t="s">
        <v>55</v>
      </c>
      <c r="D27" t="s">
        <v>37</v>
      </c>
      <c r="E27">
        <v>85566.04</v>
      </c>
      <c r="F27" s="1">
        <v>44759</v>
      </c>
      <c r="G27">
        <v>1</v>
      </c>
      <c r="H27" t="s">
        <v>17</v>
      </c>
      <c r="I27" t="s">
        <v>13</v>
      </c>
    </row>
    <row r="28" spans="1:9" x14ac:dyDescent="0.3">
      <c r="A28" t="s">
        <v>27</v>
      </c>
      <c r="B28">
        <v>59226</v>
      </c>
      <c r="C28" t="s">
        <v>56</v>
      </c>
      <c r="D28" t="s">
        <v>31</v>
      </c>
      <c r="E28">
        <v>86696.97</v>
      </c>
      <c r="F28" s="1">
        <v>44232</v>
      </c>
      <c r="G28">
        <v>1</v>
      </c>
      <c r="H28" t="s">
        <v>17</v>
      </c>
      <c r="I28" t="s">
        <v>18</v>
      </c>
    </row>
    <row r="29" spans="1:9" x14ac:dyDescent="0.3">
      <c r="A29" t="s">
        <v>38</v>
      </c>
      <c r="B29">
        <v>93739</v>
      </c>
      <c r="C29" t="s">
        <v>57</v>
      </c>
      <c r="D29" t="s">
        <v>16</v>
      </c>
      <c r="E29">
        <v>39476.35</v>
      </c>
      <c r="F29" s="1">
        <v>45306</v>
      </c>
      <c r="G29">
        <v>0.5</v>
      </c>
      <c r="H29" t="s">
        <v>12</v>
      </c>
      <c r="I29" t="s">
        <v>58</v>
      </c>
    </row>
    <row r="30" spans="1:9" x14ac:dyDescent="0.3">
      <c r="A30" t="s">
        <v>38</v>
      </c>
      <c r="B30">
        <v>21393</v>
      </c>
      <c r="C30" t="s">
        <v>59</v>
      </c>
      <c r="D30" t="s">
        <v>31</v>
      </c>
      <c r="E30">
        <v>79422.94</v>
      </c>
      <c r="F30" s="1">
        <v>44336</v>
      </c>
      <c r="G30">
        <v>0.75</v>
      </c>
      <c r="H30" t="s">
        <v>17</v>
      </c>
      <c r="I30" t="s">
        <v>60</v>
      </c>
    </row>
    <row r="31" spans="1:9" x14ac:dyDescent="0.3">
      <c r="A31" t="s">
        <v>27</v>
      </c>
      <c r="B31">
        <v>18629</v>
      </c>
      <c r="C31" t="s">
        <v>61</v>
      </c>
      <c r="D31" t="s">
        <v>11</v>
      </c>
      <c r="E31">
        <v>61200.12</v>
      </c>
      <c r="F31" s="1">
        <v>45244</v>
      </c>
      <c r="G31">
        <v>0.75</v>
      </c>
      <c r="H31" t="s">
        <v>12</v>
      </c>
      <c r="I31" t="s">
        <v>18</v>
      </c>
    </row>
    <row r="32" spans="1:9" x14ac:dyDescent="0.3">
      <c r="A32" t="s">
        <v>38</v>
      </c>
      <c r="B32">
        <v>21097</v>
      </c>
      <c r="C32" t="s">
        <v>62</v>
      </c>
      <c r="D32" t="s">
        <v>31</v>
      </c>
      <c r="E32">
        <v>64507.27</v>
      </c>
      <c r="F32" s="1">
        <v>42362</v>
      </c>
      <c r="G32">
        <v>1</v>
      </c>
      <c r="H32" t="s">
        <v>17</v>
      </c>
      <c r="I32" t="s">
        <v>58</v>
      </c>
    </row>
    <row r="33" spans="1:9" x14ac:dyDescent="0.3">
      <c r="A33" t="s">
        <v>38</v>
      </c>
      <c r="B33">
        <v>35957</v>
      </c>
      <c r="C33" t="s">
        <v>63</v>
      </c>
      <c r="D33" t="s">
        <v>11</v>
      </c>
      <c r="E33">
        <v>99877.79</v>
      </c>
      <c r="F33" s="1">
        <v>43438</v>
      </c>
      <c r="G33">
        <v>0.5</v>
      </c>
      <c r="H33" t="s">
        <v>17</v>
      </c>
      <c r="I33" t="s">
        <v>13</v>
      </c>
    </row>
    <row r="34" spans="1:9" x14ac:dyDescent="0.3">
      <c r="A34" t="s">
        <v>27</v>
      </c>
      <c r="B34">
        <v>38974</v>
      </c>
      <c r="C34" t="s">
        <v>64</v>
      </c>
      <c r="D34" t="s">
        <v>24</v>
      </c>
      <c r="E34">
        <v>74128.77</v>
      </c>
      <c r="F34" s="1">
        <v>44785</v>
      </c>
      <c r="G34">
        <v>0.5</v>
      </c>
      <c r="H34" t="s">
        <v>12</v>
      </c>
      <c r="I34" t="s">
        <v>13</v>
      </c>
    </row>
    <row r="35" spans="1:9" x14ac:dyDescent="0.3">
      <c r="A35" t="s">
        <v>33</v>
      </c>
      <c r="B35">
        <v>18015</v>
      </c>
      <c r="C35" t="s">
        <v>65</v>
      </c>
      <c r="D35" t="s">
        <v>24</v>
      </c>
      <c r="E35">
        <v>109314.9</v>
      </c>
      <c r="F35" s="1">
        <v>43215</v>
      </c>
      <c r="G35">
        <v>1</v>
      </c>
      <c r="H35" t="s">
        <v>17</v>
      </c>
      <c r="I35" t="s">
        <v>13</v>
      </c>
    </row>
    <row r="36" spans="1:9" x14ac:dyDescent="0.3">
      <c r="A36" t="s">
        <v>14</v>
      </c>
      <c r="B36">
        <v>60438</v>
      </c>
      <c r="C36" t="s">
        <v>66</v>
      </c>
      <c r="D36" t="s">
        <v>31</v>
      </c>
      <c r="E36">
        <v>84910.78</v>
      </c>
      <c r="F36" s="1">
        <v>42477</v>
      </c>
      <c r="G36">
        <v>1</v>
      </c>
      <c r="H36" t="s">
        <v>17</v>
      </c>
      <c r="I36" t="s">
        <v>13</v>
      </c>
    </row>
    <row r="37" spans="1:9" x14ac:dyDescent="0.3">
      <c r="A37" t="s">
        <v>38</v>
      </c>
      <c r="B37">
        <v>11029</v>
      </c>
      <c r="C37" t="s">
        <v>67</v>
      </c>
      <c r="D37" t="s">
        <v>16</v>
      </c>
      <c r="E37">
        <v>72046.960000000006</v>
      </c>
      <c r="F37" s="1">
        <v>43632</v>
      </c>
      <c r="G37">
        <v>0.75</v>
      </c>
      <c r="H37" t="s">
        <v>17</v>
      </c>
      <c r="I37" t="s">
        <v>13</v>
      </c>
    </row>
    <row r="38" spans="1:9" x14ac:dyDescent="0.3">
      <c r="A38" t="s">
        <v>25</v>
      </c>
      <c r="B38">
        <v>22855</v>
      </c>
      <c r="C38" t="s">
        <v>68</v>
      </c>
      <c r="D38" t="s">
        <v>31</v>
      </c>
      <c r="E38">
        <v>86908.14</v>
      </c>
      <c r="F38" s="1">
        <v>42665</v>
      </c>
      <c r="G38">
        <v>0.5</v>
      </c>
      <c r="H38" t="s">
        <v>17</v>
      </c>
      <c r="I38" t="s">
        <v>13</v>
      </c>
    </row>
    <row r="39" spans="1:9" x14ac:dyDescent="0.3">
      <c r="A39" t="s">
        <v>14</v>
      </c>
      <c r="B39">
        <v>61617</v>
      </c>
      <c r="C39" t="s">
        <v>69</v>
      </c>
      <c r="D39" t="s">
        <v>24</v>
      </c>
      <c r="E39">
        <v>60407.88</v>
      </c>
      <c r="F39" s="1">
        <v>44022</v>
      </c>
      <c r="G39">
        <v>1</v>
      </c>
      <c r="H39" t="s">
        <v>17</v>
      </c>
      <c r="I39" t="s">
        <v>13</v>
      </c>
    </row>
    <row r="40" spans="1:9" x14ac:dyDescent="0.3">
      <c r="A40" t="s">
        <v>19</v>
      </c>
      <c r="B40">
        <v>82938</v>
      </c>
      <c r="C40" t="s">
        <v>70</v>
      </c>
      <c r="D40" t="s">
        <v>11</v>
      </c>
      <c r="E40">
        <v>41189.14</v>
      </c>
      <c r="F40" s="1">
        <v>42374</v>
      </c>
      <c r="G40">
        <v>0.75</v>
      </c>
      <c r="H40" t="s">
        <v>17</v>
      </c>
      <c r="I40" t="s">
        <v>13</v>
      </c>
    </row>
    <row r="41" spans="1:9" x14ac:dyDescent="0.3">
      <c r="A41" t="s">
        <v>14</v>
      </c>
      <c r="B41">
        <v>78026</v>
      </c>
      <c r="C41" t="s">
        <v>71</v>
      </c>
      <c r="D41" t="s">
        <v>16</v>
      </c>
      <c r="E41">
        <v>91427.67</v>
      </c>
      <c r="F41" s="1">
        <v>42650</v>
      </c>
      <c r="G41">
        <v>0.75</v>
      </c>
      <c r="H41" t="s">
        <v>17</v>
      </c>
      <c r="I41" t="s">
        <v>13</v>
      </c>
    </row>
    <row r="42" spans="1:9" x14ac:dyDescent="0.3">
      <c r="A42" t="s">
        <v>47</v>
      </c>
      <c r="B42">
        <v>47987</v>
      </c>
      <c r="C42" t="s">
        <v>72</v>
      </c>
      <c r="D42" t="s">
        <v>37</v>
      </c>
      <c r="E42">
        <v>85983.37</v>
      </c>
      <c r="F42" s="1">
        <v>42141</v>
      </c>
      <c r="G42">
        <v>1</v>
      </c>
      <c r="H42" t="s">
        <v>17</v>
      </c>
      <c r="I42" t="s">
        <v>13</v>
      </c>
    </row>
    <row r="43" spans="1:9" x14ac:dyDescent="0.3">
      <c r="A43" t="s">
        <v>22</v>
      </c>
      <c r="B43">
        <v>68791</v>
      </c>
      <c r="C43" t="s">
        <v>73</v>
      </c>
      <c r="D43" t="s">
        <v>37</v>
      </c>
      <c r="E43">
        <v>100970.98</v>
      </c>
      <c r="F43" s="1">
        <v>42639</v>
      </c>
      <c r="G43">
        <v>1</v>
      </c>
      <c r="H43" t="s">
        <v>17</v>
      </c>
      <c r="I43" t="s">
        <v>13</v>
      </c>
    </row>
    <row r="44" spans="1:9" x14ac:dyDescent="0.3">
      <c r="A44" t="s">
        <v>19</v>
      </c>
      <c r="B44">
        <v>74044</v>
      </c>
      <c r="C44" t="s">
        <v>74</v>
      </c>
      <c r="D44" t="s">
        <v>11</v>
      </c>
      <c r="E44">
        <v>41439.82</v>
      </c>
      <c r="F44" s="1">
        <v>45433</v>
      </c>
      <c r="G44">
        <v>1</v>
      </c>
      <c r="H44" t="s">
        <v>35</v>
      </c>
      <c r="I44" t="s">
        <v>13</v>
      </c>
    </row>
    <row r="45" spans="1:9" x14ac:dyDescent="0.3">
      <c r="A45" t="s">
        <v>33</v>
      </c>
      <c r="B45">
        <v>86662</v>
      </c>
      <c r="C45" t="s">
        <v>75</v>
      </c>
      <c r="D45" t="s">
        <v>16</v>
      </c>
      <c r="E45">
        <v>112060.5</v>
      </c>
      <c r="F45" s="1">
        <v>45260</v>
      </c>
      <c r="G45">
        <v>1</v>
      </c>
      <c r="H45" t="s">
        <v>12</v>
      </c>
      <c r="I45" t="s">
        <v>76</v>
      </c>
    </row>
    <row r="46" spans="1:9" x14ac:dyDescent="0.3">
      <c r="A46" t="s">
        <v>33</v>
      </c>
      <c r="B46">
        <v>99037</v>
      </c>
      <c r="C46" t="s">
        <v>77</v>
      </c>
      <c r="D46" t="s">
        <v>31</v>
      </c>
      <c r="E46">
        <v>101940.71</v>
      </c>
      <c r="F46" s="1">
        <v>43022</v>
      </c>
      <c r="G46">
        <v>1</v>
      </c>
      <c r="H46" t="s">
        <v>17</v>
      </c>
      <c r="I46" t="s">
        <v>41</v>
      </c>
    </row>
    <row r="47" spans="1:9" x14ac:dyDescent="0.3">
      <c r="A47" t="s">
        <v>22</v>
      </c>
      <c r="B47">
        <v>38475</v>
      </c>
      <c r="C47" t="s">
        <v>78</v>
      </c>
      <c r="D47" t="s">
        <v>21</v>
      </c>
      <c r="E47">
        <v>112519.87</v>
      </c>
      <c r="F47" s="1">
        <v>41832</v>
      </c>
      <c r="G47">
        <v>1</v>
      </c>
      <c r="H47" t="s">
        <v>17</v>
      </c>
      <c r="I47" t="s">
        <v>18</v>
      </c>
    </row>
    <row r="48" spans="1:9" x14ac:dyDescent="0.3">
      <c r="A48" t="s">
        <v>27</v>
      </c>
      <c r="B48">
        <v>65448</v>
      </c>
      <c r="C48" t="s">
        <v>79</v>
      </c>
      <c r="D48" t="s">
        <v>21</v>
      </c>
      <c r="E48">
        <v>108528.12</v>
      </c>
      <c r="F48" s="1">
        <v>41994</v>
      </c>
      <c r="G48">
        <v>1</v>
      </c>
      <c r="H48" t="s">
        <v>17</v>
      </c>
      <c r="I48" t="s">
        <v>13</v>
      </c>
    </row>
    <row r="49" spans="1:9" x14ac:dyDescent="0.3">
      <c r="A49" t="s">
        <v>9</v>
      </c>
      <c r="B49">
        <v>20965</v>
      </c>
      <c r="C49" t="s">
        <v>80</v>
      </c>
      <c r="D49" t="s">
        <v>11</v>
      </c>
      <c r="E49">
        <v>91290.58</v>
      </c>
      <c r="F49" s="1">
        <v>44301</v>
      </c>
      <c r="G49">
        <v>1</v>
      </c>
      <c r="H49" t="s">
        <v>17</v>
      </c>
      <c r="I49" t="s">
        <v>41</v>
      </c>
    </row>
    <row r="50" spans="1:9" x14ac:dyDescent="0.3">
      <c r="A50" t="s">
        <v>27</v>
      </c>
      <c r="B50">
        <v>58277</v>
      </c>
      <c r="C50" t="s">
        <v>81</v>
      </c>
      <c r="D50" t="s">
        <v>31</v>
      </c>
      <c r="E50">
        <v>102922.58</v>
      </c>
      <c r="F50" s="1">
        <v>45258</v>
      </c>
      <c r="G50">
        <v>1</v>
      </c>
      <c r="H50" t="s">
        <v>12</v>
      </c>
      <c r="I50" t="s">
        <v>41</v>
      </c>
    </row>
    <row r="51" spans="1:9" x14ac:dyDescent="0.3">
      <c r="A51" t="s">
        <v>19</v>
      </c>
      <c r="B51">
        <v>38853</v>
      </c>
      <c r="C51" t="s">
        <v>82</v>
      </c>
      <c r="D51" t="s">
        <v>31</v>
      </c>
      <c r="E51">
        <v>76710.66</v>
      </c>
      <c r="F51" s="1">
        <v>44835</v>
      </c>
      <c r="G51">
        <v>0.75</v>
      </c>
      <c r="H51" t="s">
        <v>17</v>
      </c>
      <c r="I51" t="s">
        <v>13</v>
      </c>
    </row>
    <row r="52" spans="1:9" x14ac:dyDescent="0.3">
      <c r="A52" t="s">
        <v>38</v>
      </c>
      <c r="B52">
        <v>44198</v>
      </c>
      <c r="C52" t="s">
        <v>83</v>
      </c>
      <c r="D52" t="s">
        <v>37</v>
      </c>
      <c r="E52">
        <v>100694.02</v>
      </c>
      <c r="F52" s="1">
        <v>42454</v>
      </c>
      <c r="G52">
        <v>1</v>
      </c>
      <c r="H52" t="s">
        <v>17</v>
      </c>
      <c r="I52" t="s">
        <v>41</v>
      </c>
    </row>
    <row r="53" spans="1:9" x14ac:dyDescent="0.3">
      <c r="A53" t="s">
        <v>22</v>
      </c>
      <c r="B53">
        <v>86707</v>
      </c>
      <c r="C53" t="s">
        <v>84</v>
      </c>
      <c r="D53" t="s">
        <v>21</v>
      </c>
      <c r="E53">
        <v>47021.47</v>
      </c>
      <c r="F53" s="1">
        <v>44727</v>
      </c>
      <c r="G53">
        <v>1</v>
      </c>
      <c r="H53" t="s">
        <v>12</v>
      </c>
      <c r="I53" t="s">
        <v>18</v>
      </c>
    </row>
    <row r="54" spans="1:9" x14ac:dyDescent="0.3">
      <c r="A54" t="s">
        <v>22</v>
      </c>
      <c r="B54">
        <v>31834</v>
      </c>
      <c r="C54" t="s">
        <v>85</v>
      </c>
      <c r="D54" t="s">
        <v>31</v>
      </c>
      <c r="E54">
        <v>100390.27</v>
      </c>
      <c r="F54" s="1">
        <v>45265</v>
      </c>
      <c r="G54">
        <v>1</v>
      </c>
      <c r="H54" t="s">
        <v>12</v>
      </c>
      <c r="I54" t="s">
        <v>41</v>
      </c>
    </row>
    <row r="55" spans="1:9" x14ac:dyDescent="0.3">
      <c r="A55" t="s">
        <v>22</v>
      </c>
      <c r="B55">
        <v>66521</v>
      </c>
      <c r="C55" t="s">
        <v>86</v>
      </c>
      <c r="D55" t="s">
        <v>37</v>
      </c>
      <c r="E55">
        <v>70012.160000000003</v>
      </c>
      <c r="F55" s="1">
        <v>43946</v>
      </c>
      <c r="G55">
        <v>1</v>
      </c>
      <c r="H55" t="s">
        <v>17</v>
      </c>
      <c r="I55" t="s">
        <v>13</v>
      </c>
    </row>
    <row r="56" spans="1:9" x14ac:dyDescent="0.3">
      <c r="A56" t="s">
        <v>47</v>
      </c>
      <c r="B56">
        <v>35158</v>
      </c>
      <c r="C56" t="s">
        <v>87</v>
      </c>
      <c r="D56" t="s">
        <v>16</v>
      </c>
      <c r="E56">
        <v>98095.46</v>
      </c>
      <c r="F56" s="1">
        <v>43920</v>
      </c>
      <c r="G56">
        <v>1</v>
      </c>
      <c r="H56" t="s">
        <v>17</v>
      </c>
      <c r="I56" t="s">
        <v>13</v>
      </c>
    </row>
    <row r="57" spans="1:9" x14ac:dyDescent="0.3">
      <c r="A57" t="s">
        <v>27</v>
      </c>
      <c r="B57">
        <v>56991</v>
      </c>
      <c r="C57" t="s">
        <v>88</v>
      </c>
      <c r="D57" t="s">
        <v>11</v>
      </c>
      <c r="E57">
        <v>70992.320000000007</v>
      </c>
      <c r="F57" s="1">
        <v>42395</v>
      </c>
      <c r="G57">
        <v>1</v>
      </c>
      <c r="H57" t="s">
        <v>17</v>
      </c>
      <c r="I57" t="s">
        <v>13</v>
      </c>
    </row>
    <row r="58" spans="1:9" x14ac:dyDescent="0.3">
      <c r="A58" t="s">
        <v>9</v>
      </c>
      <c r="B58">
        <v>25074</v>
      </c>
      <c r="C58" t="s">
        <v>89</v>
      </c>
      <c r="D58" t="s">
        <v>24</v>
      </c>
      <c r="E58">
        <v>101060.29</v>
      </c>
      <c r="F58" s="1">
        <v>41820</v>
      </c>
      <c r="G58">
        <v>1</v>
      </c>
      <c r="H58" t="s">
        <v>17</v>
      </c>
      <c r="I58" t="s">
        <v>13</v>
      </c>
    </row>
    <row r="59" spans="1:9" x14ac:dyDescent="0.3">
      <c r="A59" t="s">
        <v>90</v>
      </c>
      <c r="B59">
        <v>18369</v>
      </c>
      <c r="C59" t="s">
        <v>91</v>
      </c>
      <c r="D59" t="s">
        <v>11</v>
      </c>
      <c r="E59">
        <v>36780.559999999998</v>
      </c>
      <c r="F59" s="1">
        <v>43290</v>
      </c>
      <c r="G59">
        <v>0.5</v>
      </c>
      <c r="H59" t="s">
        <v>17</v>
      </c>
      <c r="I59" t="s">
        <v>13</v>
      </c>
    </row>
    <row r="60" spans="1:9" x14ac:dyDescent="0.3">
      <c r="A60" t="s">
        <v>9</v>
      </c>
      <c r="B60">
        <v>13620</v>
      </c>
      <c r="C60" t="s">
        <v>92</v>
      </c>
      <c r="D60" t="s">
        <v>11</v>
      </c>
      <c r="E60">
        <v>34017.68</v>
      </c>
      <c r="F60" s="1">
        <v>43197</v>
      </c>
      <c r="G60">
        <v>1</v>
      </c>
      <c r="H60" t="s">
        <v>17</v>
      </c>
      <c r="I60" t="s">
        <v>13</v>
      </c>
    </row>
    <row r="61" spans="1:9" x14ac:dyDescent="0.3">
      <c r="A61" t="s">
        <v>33</v>
      </c>
      <c r="B61">
        <v>78919</v>
      </c>
      <c r="C61" t="s">
        <v>93</v>
      </c>
      <c r="D61" t="s">
        <v>37</v>
      </c>
      <c r="E61">
        <v>114086.06</v>
      </c>
      <c r="F61" s="1">
        <v>44881</v>
      </c>
      <c r="G61">
        <v>1</v>
      </c>
      <c r="H61" t="s">
        <v>12</v>
      </c>
      <c r="I61" t="s">
        <v>13</v>
      </c>
    </row>
    <row r="62" spans="1:9" x14ac:dyDescent="0.3">
      <c r="A62" t="s">
        <v>14</v>
      </c>
      <c r="B62">
        <v>69193</v>
      </c>
      <c r="C62" t="s">
        <v>94</v>
      </c>
      <c r="D62" t="s">
        <v>31</v>
      </c>
      <c r="E62">
        <v>73754.86</v>
      </c>
      <c r="F62" s="1">
        <v>43724</v>
      </c>
      <c r="G62">
        <v>1</v>
      </c>
      <c r="H62" t="s">
        <v>17</v>
      </c>
      <c r="I62" t="s">
        <v>13</v>
      </c>
    </row>
    <row r="63" spans="1:9" x14ac:dyDescent="0.3">
      <c r="A63" t="s">
        <v>9</v>
      </c>
      <c r="B63">
        <v>98725</v>
      </c>
      <c r="C63" t="s">
        <v>95</v>
      </c>
      <c r="D63" t="s">
        <v>16</v>
      </c>
      <c r="E63">
        <v>111096.43</v>
      </c>
      <c r="F63" s="1">
        <v>43494</v>
      </c>
      <c r="G63">
        <v>1</v>
      </c>
      <c r="H63" t="s">
        <v>17</v>
      </c>
      <c r="I63" t="s">
        <v>13</v>
      </c>
    </row>
    <row r="64" spans="1:9" x14ac:dyDescent="0.3">
      <c r="A64" t="s">
        <v>90</v>
      </c>
      <c r="B64">
        <v>36435</v>
      </c>
      <c r="C64" t="s">
        <v>96</v>
      </c>
      <c r="D64" t="s">
        <v>37</v>
      </c>
      <c r="E64">
        <v>115030.49</v>
      </c>
      <c r="F64" s="1">
        <v>43184</v>
      </c>
      <c r="G64">
        <v>1</v>
      </c>
      <c r="H64" t="s">
        <v>17</v>
      </c>
      <c r="I64" t="s">
        <v>13</v>
      </c>
    </row>
    <row r="65" spans="1:9" x14ac:dyDescent="0.3">
      <c r="A65" t="s">
        <v>25</v>
      </c>
      <c r="B65">
        <v>25585</v>
      </c>
      <c r="C65" t="s">
        <v>97</v>
      </c>
      <c r="D65" t="s">
        <v>31</v>
      </c>
      <c r="E65">
        <v>89986</v>
      </c>
      <c r="F65" s="1">
        <v>41844</v>
      </c>
      <c r="G65">
        <v>0.75</v>
      </c>
      <c r="H65" t="s">
        <v>17</v>
      </c>
      <c r="I65" t="s">
        <v>18</v>
      </c>
    </row>
    <row r="66" spans="1:9" x14ac:dyDescent="0.3">
      <c r="A66" t="s">
        <v>90</v>
      </c>
      <c r="B66">
        <v>75154</v>
      </c>
      <c r="C66" t="s">
        <v>98</v>
      </c>
      <c r="D66" t="s">
        <v>31</v>
      </c>
      <c r="E66">
        <v>81461.710000000006</v>
      </c>
      <c r="F66" s="1">
        <v>44868</v>
      </c>
      <c r="G66">
        <v>0.75</v>
      </c>
      <c r="H66" t="s">
        <v>12</v>
      </c>
      <c r="I66" t="s">
        <v>41</v>
      </c>
    </row>
    <row r="67" spans="1:9" x14ac:dyDescent="0.3">
      <c r="A67" t="s">
        <v>33</v>
      </c>
      <c r="B67">
        <v>62160</v>
      </c>
      <c r="C67" t="s">
        <v>99</v>
      </c>
      <c r="D67" t="s">
        <v>31</v>
      </c>
      <c r="E67">
        <v>49438.14</v>
      </c>
      <c r="F67" s="1">
        <v>43994</v>
      </c>
      <c r="G67">
        <v>0.5</v>
      </c>
      <c r="H67" t="s">
        <v>17</v>
      </c>
      <c r="I67" t="s">
        <v>13</v>
      </c>
    </row>
    <row r="68" spans="1:9" x14ac:dyDescent="0.3">
      <c r="A68" t="s">
        <v>19</v>
      </c>
      <c r="B68">
        <v>43617</v>
      </c>
      <c r="C68" t="s">
        <v>100</v>
      </c>
      <c r="D68" t="s">
        <v>16</v>
      </c>
      <c r="E68">
        <v>38412.86</v>
      </c>
      <c r="F68" s="1">
        <v>44951</v>
      </c>
      <c r="G68">
        <v>0.5</v>
      </c>
      <c r="H68" t="s">
        <v>35</v>
      </c>
      <c r="I68" t="s">
        <v>76</v>
      </c>
    </row>
    <row r="69" spans="1:9" x14ac:dyDescent="0.3">
      <c r="A69" t="s">
        <v>9</v>
      </c>
      <c r="B69">
        <v>37162</v>
      </c>
      <c r="C69" t="s">
        <v>101</v>
      </c>
      <c r="D69" t="s">
        <v>11</v>
      </c>
      <c r="E69">
        <v>103745.48</v>
      </c>
      <c r="F69" s="1">
        <v>43907</v>
      </c>
      <c r="G69">
        <v>1</v>
      </c>
      <c r="H69" t="s">
        <v>17</v>
      </c>
      <c r="I69" t="s">
        <v>18</v>
      </c>
    </row>
    <row r="70" spans="1:9" x14ac:dyDescent="0.3">
      <c r="A70" t="s">
        <v>38</v>
      </c>
      <c r="B70">
        <v>94016</v>
      </c>
      <c r="C70" t="s">
        <v>102</v>
      </c>
      <c r="D70" t="s">
        <v>37</v>
      </c>
      <c r="E70">
        <v>109989.49</v>
      </c>
      <c r="F70" s="1">
        <v>42358</v>
      </c>
      <c r="G70">
        <v>1</v>
      </c>
      <c r="H70" t="s">
        <v>17</v>
      </c>
      <c r="I70" t="s">
        <v>13</v>
      </c>
    </row>
    <row r="71" spans="1:9" x14ac:dyDescent="0.3">
      <c r="A71" t="s">
        <v>38</v>
      </c>
      <c r="B71">
        <v>15518</v>
      </c>
      <c r="C71" t="s">
        <v>103</v>
      </c>
      <c r="D71" t="s">
        <v>24</v>
      </c>
      <c r="E71">
        <v>100145.61</v>
      </c>
      <c r="F71" s="1">
        <v>42270</v>
      </c>
      <c r="G71">
        <v>1</v>
      </c>
      <c r="H71" t="s">
        <v>17</v>
      </c>
      <c r="I71" t="s">
        <v>13</v>
      </c>
    </row>
    <row r="72" spans="1:9" x14ac:dyDescent="0.3">
      <c r="A72" t="s">
        <v>38</v>
      </c>
      <c r="B72">
        <v>38297</v>
      </c>
      <c r="C72" t="s">
        <v>104</v>
      </c>
      <c r="D72" t="s">
        <v>37</v>
      </c>
      <c r="E72">
        <v>92865.22</v>
      </c>
      <c r="F72" s="1">
        <v>43682</v>
      </c>
      <c r="G72">
        <v>0.5</v>
      </c>
      <c r="H72" t="s">
        <v>17</v>
      </c>
      <c r="I72" t="s">
        <v>13</v>
      </c>
    </row>
    <row r="73" spans="1:9" x14ac:dyDescent="0.3">
      <c r="A73" t="s">
        <v>90</v>
      </c>
      <c r="B73">
        <v>91712</v>
      </c>
      <c r="C73" t="s">
        <v>105</v>
      </c>
      <c r="D73" t="s">
        <v>37</v>
      </c>
      <c r="E73">
        <v>67810</v>
      </c>
      <c r="F73" s="1">
        <v>45353</v>
      </c>
      <c r="G73">
        <v>0.75</v>
      </c>
      <c r="H73" t="s">
        <v>17</v>
      </c>
      <c r="I73" t="s">
        <v>13</v>
      </c>
    </row>
    <row r="74" spans="1:9" x14ac:dyDescent="0.3">
      <c r="A74" t="s">
        <v>9</v>
      </c>
      <c r="B74">
        <v>29182</v>
      </c>
      <c r="C74" t="s">
        <v>106</v>
      </c>
      <c r="D74" t="s">
        <v>24</v>
      </c>
      <c r="E74">
        <v>57478.04</v>
      </c>
      <c r="F74" s="1">
        <v>44413</v>
      </c>
      <c r="G74">
        <v>0.75</v>
      </c>
      <c r="H74" t="s">
        <v>12</v>
      </c>
      <c r="I74" t="s">
        <v>13</v>
      </c>
    </row>
    <row r="75" spans="1:9" x14ac:dyDescent="0.3">
      <c r="A75" t="s">
        <v>22</v>
      </c>
      <c r="B75">
        <v>23714</v>
      </c>
      <c r="C75" t="s">
        <v>107</v>
      </c>
      <c r="D75" t="s">
        <v>31</v>
      </c>
      <c r="E75">
        <v>40210.04</v>
      </c>
      <c r="F75" s="1">
        <v>43194</v>
      </c>
      <c r="G75">
        <v>1</v>
      </c>
      <c r="H75" t="s">
        <v>17</v>
      </c>
      <c r="I75" t="s">
        <v>13</v>
      </c>
    </row>
    <row r="76" spans="1:9" x14ac:dyDescent="0.3">
      <c r="A76" t="s">
        <v>90</v>
      </c>
      <c r="B76">
        <v>35948</v>
      </c>
      <c r="C76" t="s">
        <v>108</v>
      </c>
      <c r="D76" t="s">
        <v>11</v>
      </c>
      <c r="E76">
        <v>68337.320000000007</v>
      </c>
      <c r="F76" s="1">
        <v>44072</v>
      </c>
      <c r="G76">
        <v>0.75</v>
      </c>
      <c r="H76" t="s">
        <v>17</v>
      </c>
      <c r="I76" t="s">
        <v>13</v>
      </c>
    </row>
    <row r="77" spans="1:9" x14ac:dyDescent="0.3">
      <c r="A77" t="s">
        <v>27</v>
      </c>
      <c r="B77">
        <v>70084</v>
      </c>
      <c r="C77" t="s">
        <v>109</v>
      </c>
      <c r="D77" t="s">
        <v>11</v>
      </c>
      <c r="E77">
        <v>80941.17</v>
      </c>
      <c r="F77" s="1">
        <v>44157</v>
      </c>
      <c r="G77">
        <v>0.75</v>
      </c>
      <c r="H77" t="s">
        <v>17</v>
      </c>
      <c r="I77" t="s">
        <v>13</v>
      </c>
    </row>
    <row r="78" spans="1:9" x14ac:dyDescent="0.3">
      <c r="A78" t="s">
        <v>38</v>
      </c>
      <c r="B78">
        <v>59549</v>
      </c>
      <c r="C78" t="s">
        <v>110</v>
      </c>
      <c r="D78" t="s">
        <v>24</v>
      </c>
      <c r="E78">
        <v>113059.25</v>
      </c>
      <c r="F78" s="1">
        <v>42692</v>
      </c>
      <c r="G78">
        <v>1</v>
      </c>
      <c r="H78" t="s">
        <v>17</v>
      </c>
      <c r="I78" t="s">
        <v>13</v>
      </c>
    </row>
    <row r="79" spans="1:9" x14ac:dyDescent="0.3">
      <c r="A79" t="s">
        <v>22</v>
      </c>
      <c r="B79">
        <v>57401</v>
      </c>
      <c r="C79" t="s">
        <v>111</v>
      </c>
      <c r="D79" t="s">
        <v>11</v>
      </c>
      <c r="E79">
        <v>114217.93</v>
      </c>
      <c r="F79" s="1">
        <v>43228</v>
      </c>
      <c r="G79">
        <v>1</v>
      </c>
      <c r="H79" t="s">
        <v>17</v>
      </c>
      <c r="I79" t="s">
        <v>13</v>
      </c>
    </row>
    <row r="80" spans="1:9" x14ac:dyDescent="0.3">
      <c r="A80" t="s">
        <v>19</v>
      </c>
      <c r="B80">
        <v>81616</v>
      </c>
      <c r="C80" t="s">
        <v>112</v>
      </c>
      <c r="D80" t="s">
        <v>21</v>
      </c>
      <c r="E80">
        <v>67407.710000000006</v>
      </c>
      <c r="F80" s="1">
        <v>43577</v>
      </c>
      <c r="G80">
        <v>0.5</v>
      </c>
      <c r="H80" t="s">
        <v>17</v>
      </c>
      <c r="I80" t="s">
        <v>13</v>
      </c>
    </row>
    <row r="81" spans="1:9" x14ac:dyDescent="0.3">
      <c r="A81" t="s">
        <v>14</v>
      </c>
      <c r="B81">
        <v>29835</v>
      </c>
      <c r="C81" t="s">
        <v>113</v>
      </c>
      <c r="D81" t="s">
        <v>11</v>
      </c>
      <c r="E81">
        <v>38928.99</v>
      </c>
      <c r="F81" s="1">
        <v>43027</v>
      </c>
      <c r="G81">
        <v>0.75</v>
      </c>
      <c r="H81" t="s">
        <v>17</v>
      </c>
      <c r="I81" t="s">
        <v>13</v>
      </c>
    </row>
    <row r="82" spans="1:9" x14ac:dyDescent="0.3">
      <c r="A82" t="s">
        <v>47</v>
      </c>
      <c r="B82">
        <v>23729</v>
      </c>
      <c r="C82" t="s">
        <v>114</v>
      </c>
      <c r="D82" t="s">
        <v>11</v>
      </c>
      <c r="E82">
        <v>99643.69</v>
      </c>
      <c r="F82" s="1">
        <v>44778</v>
      </c>
      <c r="G82">
        <v>0.5</v>
      </c>
      <c r="H82" t="s">
        <v>17</v>
      </c>
      <c r="I82" t="s">
        <v>76</v>
      </c>
    </row>
    <row r="83" spans="1:9" x14ac:dyDescent="0.3">
      <c r="A83" t="s">
        <v>90</v>
      </c>
      <c r="B83">
        <v>88150</v>
      </c>
      <c r="C83" t="s">
        <v>115</v>
      </c>
      <c r="D83" t="s">
        <v>21</v>
      </c>
      <c r="E83">
        <v>96085.14</v>
      </c>
      <c r="F83" s="1">
        <v>44020</v>
      </c>
      <c r="G83">
        <v>1</v>
      </c>
      <c r="H83" t="s">
        <v>17</v>
      </c>
      <c r="I83" t="s">
        <v>60</v>
      </c>
    </row>
    <row r="84" spans="1:9" x14ac:dyDescent="0.3">
      <c r="A84" t="s">
        <v>25</v>
      </c>
      <c r="B84">
        <v>73950</v>
      </c>
      <c r="C84" t="s">
        <v>116</v>
      </c>
      <c r="D84" t="s">
        <v>11</v>
      </c>
      <c r="E84">
        <v>32763.08</v>
      </c>
      <c r="F84" s="1">
        <v>43546</v>
      </c>
      <c r="G84">
        <v>0.75</v>
      </c>
      <c r="H84" t="s">
        <v>17</v>
      </c>
      <c r="I84" t="s">
        <v>13</v>
      </c>
    </row>
    <row r="85" spans="1:9" x14ac:dyDescent="0.3">
      <c r="A85" t="s">
        <v>22</v>
      </c>
      <c r="B85">
        <v>29451</v>
      </c>
      <c r="C85" t="s">
        <v>117</v>
      </c>
      <c r="D85" t="s">
        <v>21</v>
      </c>
      <c r="E85">
        <v>70204.67</v>
      </c>
      <c r="F85" s="1">
        <v>44177</v>
      </c>
      <c r="G85">
        <v>0.75</v>
      </c>
      <c r="H85" t="s">
        <v>17</v>
      </c>
      <c r="I85" t="s">
        <v>13</v>
      </c>
    </row>
    <row r="86" spans="1:9" x14ac:dyDescent="0.3">
      <c r="A86" t="s">
        <v>90</v>
      </c>
      <c r="B86">
        <v>83912</v>
      </c>
      <c r="C86" t="s">
        <v>118</v>
      </c>
      <c r="D86" t="s">
        <v>37</v>
      </c>
      <c r="E86">
        <v>91777.63</v>
      </c>
      <c r="F86" s="1">
        <v>42592</v>
      </c>
      <c r="G86">
        <v>0.75</v>
      </c>
      <c r="H86" t="s">
        <v>17</v>
      </c>
      <c r="I86" t="s">
        <v>13</v>
      </c>
    </row>
    <row r="87" spans="1:9" x14ac:dyDescent="0.3">
      <c r="A87" t="s">
        <v>14</v>
      </c>
      <c r="B87">
        <v>63203</v>
      </c>
      <c r="C87" t="s">
        <v>119</v>
      </c>
      <c r="D87" t="s">
        <v>24</v>
      </c>
      <c r="E87">
        <v>32712.080000000002</v>
      </c>
      <c r="F87" s="1">
        <v>42531</v>
      </c>
      <c r="G87">
        <v>1</v>
      </c>
      <c r="H87" t="s">
        <v>17</v>
      </c>
      <c r="I87" t="s">
        <v>13</v>
      </c>
    </row>
    <row r="88" spans="1:9" x14ac:dyDescent="0.3">
      <c r="A88" t="s">
        <v>33</v>
      </c>
      <c r="B88">
        <v>93671</v>
      </c>
      <c r="C88" t="s">
        <v>120</v>
      </c>
      <c r="D88" t="s">
        <v>16</v>
      </c>
      <c r="E88">
        <v>112735.41</v>
      </c>
      <c r="F88" s="1">
        <v>44281</v>
      </c>
      <c r="G88">
        <v>1</v>
      </c>
      <c r="H88" t="s">
        <v>12</v>
      </c>
      <c r="I88" t="s">
        <v>13</v>
      </c>
    </row>
    <row r="89" spans="1:9" x14ac:dyDescent="0.3">
      <c r="A89" t="s">
        <v>27</v>
      </c>
      <c r="B89">
        <v>99119</v>
      </c>
      <c r="C89" t="s">
        <v>121</v>
      </c>
      <c r="D89" t="s">
        <v>16</v>
      </c>
      <c r="E89">
        <v>116601.82</v>
      </c>
      <c r="F89" s="1">
        <v>43995</v>
      </c>
      <c r="G89">
        <v>1</v>
      </c>
      <c r="H89" t="s">
        <v>17</v>
      </c>
      <c r="I89" t="s">
        <v>13</v>
      </c>
    </row>
    <row r="90" spans="1:9" x14ac:dyDescent="0.3">
      <c r="A90" t="s">
        <v>25</v>
      </c>
      <c r="B90">
        <v>65474</v>
      </c>
      <c r="C90" t="s">
        <v>122</v>
      </c>
      <c r="D90" t="s">
        <v>21</v>
      </c>
      <c r="E90">
        <v>95028.85</v>
      </c>
      <c r="F90" s="1">
        <v>44897</v>
      </c>
      <c r="G90">
        <v>0.75</v>
      </c>
      <c r="H90" t="s">
        <v>12</v>
      </c>
      <c r="I90" t="s">
        <v>13</v>
      </c>
    </row>
    <row r="91" spans="1:9" x14ac:dyDescent="0.3">
      <c r="A91" t="s">
        <v>25</v>
      </c>
      <c r="B91">
        <v>78318</v>
      </c>
      <c r="C91" t="s">
        <v>123</v>
      </c>
      <c r="D91" t="s">
        <v>24</v>
      </c>
      <c r="E91">
        <v>37068.47</v>
      </c>
      <c r="F91" s="1">
        <v>44715</v>
      </c>
      <c r="G91">
        <v>1</v>
      </c>
      <c r="H91" t="s">
        <v>17</v>
      </c>
      <c r="I91" t="s">
        <v>13</v>
      </c>
    </row>
    <row r="92" spans="1:9" x14ac:dyDescent="0.3">
      <c r="A92" t="s">
        <v>14</v>
      </c>
      <c r="B92">
        <v>74933</v>
      </c>
      <c r="C92" t="s">
        <v>124</v>
      </c>
      <c r="D92" t="s">
        <v>37</v>
      </c>
      <c r="E92">
        <v>36329.65</v>
      </c>
      <c r="F92" s="1">
        <v>43209</v>
      </c>
      <c r="G92">
        <v>0.5</v>
      </c>
      <c r="H92" t="s">
        <v>17</v>
      </c>
      <c r="I92" t="s">
        <v>13</v>
      </c>
    </row>
    <row r="93" spans="1:9" x14ac:dyDescent="0.3">
      <c r="A93" t="s">
        <v>38</v>
      </c>
      <c r="B93">
        <v>99039</v>
      </c>
      <c r="C93" t="s">
        <v>125</v>
      </c>
      <c r="D93" t="s">
        <v>31</v>
      </c>
      <c r="E93">
        <v>62332.800000000003</v>
      </c>
      <c r="F93" s="1">
        <v>44112</v>
      </c>
      <c r="G93">
        <v>0.5</v>
      </c>
      <c r="H93" t="s">
        <v>17</v>
      </c>
      <c r="I93" t="s">
        <v>58</v>
      </c>
    </row>
    <row r="94" spans="1:9" x14ac:dyDescent="0.3">
      <c r="A94" t="s">
        <v>14</v>
      </c>
      <c r="B94">
        <v>52265</v>
      </c>
      <c r="C94" t="s">
        <v>126</v>
      </c>
      <c r="D94" t="s">
        <v>16</v>
      </c>
      <c r="E94">
        <v>32643.98</v>
      </c>
      <c r="F94" s="1">
        <v>44018</v>
      </c>
      <c r="G94">
        <v>1</v>
      </c>
      <c r="H94" t="s">
        <v>17</v>
      </c>
      <c r="I94" t="s">
        <v>13</v>
      </c>
    </row>
    <row r="95" spans="1:9" x14ac:dyDescent="0.3">
      <c r="A95" t="s">
        <v>14</v>
      </c>
      <c r="B95">
        <v>75331</v>
      </c>
      <c r="C95" t="s">
        <v>127</v>
      </c>
      <c r="D95" t="s">
        <v>16</v>
      </c>
      <c r="E95">
        <v>61309</v>
      </c>
      <c r="F95" s="1">
        <v>44472</v>
      </c>
      <c r="G95">
        <v>0.5</v>
      </c>
      <c r="H95" t="s">
        <v>17</v>
      </c>
      <c r="I95" t="s">
        <v>13</v>
      </c>
    </row>
    <row r="96" spans="1:9" x14ac:dyDescent="0.3">
      <c r="A96" t="s">
        <v>90</v>
      </c>
      <c r="B96">
        <v>75358</v>
      </c>
      <c r="C96" t="s">
        <v>128</v>
      </c>
      <c r="D96" t="s">
        <v>37</v>
      </c>
      <c r="E96">
        <v>30896.78</v>
      </c>
      <c r="F96" s="1">
        <v>43512</v>
      </c>
      <c r="G96">
        <v>1</v>
      </c>
      <c r="H96" t="s">
        <v>17</v>
      </c>
      <c r="I96" t="s">
        <v>13</v>
      </c>
    </row>
    <row r="97" spans="1:9" x14ac:dyDescent="0.3">
      <c r="A97" t="s">
        <v>25</v>
      </c>
      <c r="B97">
        <v>93239</v>
      </c>
      <c r="C97" t="s">
        <v>129</v>
      </c>
      <c r="D97" t="s">
        <v>37</v>
      </c>
      <c r="E97">
        <v>117689.12</v>
      </c>
      <c r="F97" s="1">
        <v>44021</v>
      </c>
      <c r="G97">
        <v>1</v>
      </c>
      <c r="H97" t="s">
        <v>17</v>
      </c>
      <c r="I97" t="s">
        <v>13</v>
      </c>
    </row>
    <row r="98" spans="1:9" x14ac:dyDescent="0.3">
      <c r="A98" t="s">
        <v>25</v>
      </c>
      <c r="B98">
        <v>97827</v>
      </c>
      <c r="C98" t="s">
        <v>130</v>
      </c>
      <c r="D98" t="s">
        <v>37</v>
      </c>
      <c r="E98">
        <v>103710.6</v>
      </c>
      <c r="F98" s="1">
        <v>44279</v>
      </c>
      <c r="G98">
        <v>1</v>
      </c>
      <c r="H98" t="s">
        <v>17</v>
      </c>
      <c r="I98" t="s">
        <v>13</v>
      </c>
    </row>
    <row r="99" spans="1:9" x14ac:dyDescent="0.3">
      <c r="A99" t="s">
        <v>47</v>
      </c>
      <c r="B99">
        <v>36475</v>
      </c>
      <c r="C99" t="s">
        <v>131</v>
      </c>
      <c r="D99" t="s">
        <v>37</v>
      </c>
      <c r="E99">
        <v>36346.589999999997</v>
      </c>
      <c r="F99" s="1">
        <v>43548</v>
      </c>
      <c r="G99">
        <v>0.5</v>
      </c>
      <c r="H99" t="s">
        <v>17</v>
      </c>
      <c r="I99" t="s">
        <v>13</v>
      </c>
    </row>
    <row r="100" spans="1:9" x14ac:dyDescent="0.3">
      <c r="A100" t="s">
        <v>14</v>
      </c>
      <c r="B100">
        <v>81147</v>
      </c>
      <c r="C100" t="s">
        <v>132</v>
      </c>
      <c r="D100" t="s">
        <v>11</v>
      </c>
      <c r="E100">
        <v>110409.16</v>
      </c>
      <c r="F100" s="1">
        <v>42443</v>
      </c>
      <c r="G100">
        <v>1</v>
      </c>
      <c r="H100" t="s">
        <v>17</v>
      </c>
      <c r="I100" t="s">
        <v>13</v>
      </c>
    </row>
    <row r="101" spans="1:9" x14ac:dyDescent="0.3">
      <c r="A101" t="s">
        <v>22</v>
      </c>
      <c r="B101">
        <v>89923</v>
      </c>
      <c r="C101" t="s">
        <v>133</v>
      </c>
      <c r="D101" t="s">
        <v>31</v>
      </c>
      <c r="E101">
        <v>48718.02</v>
      </c>
      <c r="F101" s="1">
        <v>44769</v>
      </c>
      <c r="G101">
        <v>0.5</v>
      </c>
      <c r="H101" t="s">
        <v>12</v>
      </c>
      <c r="I101" t="s">
        <v>13</v>
      </c>
    </row>
    <row r="102" spans="1:9" x14ac:dyDescent="0.3">
      <c r="A102" t="s">
        <v>90</v>
      </c>
      <c r="B102">
        <v>38675</v>
      </c>
      <c r="C102" t="s">
        <v>134</v>
      </c>
      <c r="D102" t="s">
        <v>37</v>
      </c>
      <c r="E102">
        <v>48431.17</v>
      </c>
      <c r="F102" s="1">
        <v>43599</v>
      </c>
      <c r="G102">
        <v>0.75</v>
      </c>
      <c r="H102" t="s">
        <v>17</v>
      </c>
      <c r="I102" t="s">
        <v>13</v>
      </c>
    </row>
    <row r="103" spans="1:9" x14ac:dyDescent="0.3">
      <c r="A103" t="s">
        <v>25</v>
      </c>
      <c r="B103">
        <v>11272</v>
      </c>
      <c r="C103" t="s">
        <v>135</v>
      </c>
      <c r="D103" t="s">
        <v>24</v>
      </c>
      <c r="E103">
        <v>90638.32</v>
      </c>
      <c r="F103" s="1">
        <v>42538</v>
      </c>
      <c r="G103">
        <v>1</v>
      </c>
      <c r="H103" t="s">
        <v>17</v>
      </c>
      <c r="I103" t="s">
        <v>13</v>
      </c>
    </row>
    <row r="104" spans="1:9" x14ac:dyDescent="0.3">
      <c r="A104" t="s">
        <v>25</v>
      </c>
      <c r="B104">
        <v>54593</v>
      </c>
      <c r="C104" t="s">
        <v>136</v>
      </c>
      <c r="D104" t="s">
        <v>31</v>
      </c>
      <c r="E104">
        <v>114443.6</v>
      </c>
      <c r="F104" s="1">
        <v>44560</v>
      </c>
      <c r="G104">
        <v>1</v>
      </c>
      <c r="H104" t="s">
        <v>17</v>
      </c>
      <c r="I104" t="s">
        <v>13</v>
      </c>
    </row>
    <row r="105" spans="1:9" x14ac:dyDescent="0.3">
      <c r="A105" t="s">
        <v>9</v>
      </c>
      <c r="B105">
        <v>51714</v>
      </c>
      <c r="C105" t="s">
        <v>137</v>
      </c>
      <c r="D105" t="s">
        <v>31</v>
      </c>
      <c r="E105">
        <v>41086.93</v>
      </c>
      <c r="F105" s="1">
        <v>42747</v>
      </c>
      <c r="G105">
        <v>1</v>
      </c>
      <c r="H105" t="s">
        <v>17</v>
      </c>
      <c r="I105" t="s">
        <v>13</v>
      </c>
    </row>
    <row r="106" spans="1:9" x14ac:dyDescent="0.3">
      <c r="A106" t="s">
        <v>14</v>
      </c>
      <c r="B106">
        <v>52182</v>
      </c>
      <c r="C106" t="s">
        <v>138</v>
      </c>
      <c r="D106" t="s">
        <v>37</v>
      </c>
      <c r="E106">
        <v>30646.61</v>
      </c>
      <c r="F106" s="1">
        <v>43926</v>
      </c>
      <c r="G106">
        <v>1</v>
      </c>
      <c r="H106" t="s">
        <v>17</v>
      </c>
      <c r="I106" t="s">
        <v>13</v>
      </c>
    </row>
    <row r="107" spans="1:9" x14ac:dyDescent="0.3">
      <c r="A107" t="s">
        <v>19</v>
      </c>
      <c r="B107">
        <v>14648</v>
      </c>
      <c r="C107" t="s">
        <v>139</v>
      </c>
      <c r="D107" t="s">
        <v>16</v>
      </c>
      <c r="E107">
        <v>63221.71</v>
      </c>
      <c r="F107" s="1">
        <v>43302</v>
      </c>
      <c r="G107">
        <v>1</v>
      </c>
      <c r="H107" t="s">
        <v>17</v>
      </c>
      <c r="I107" t="s">
        <v>13</v>
      </c>
    </row>
    <row r="108" spans="1:9" x14ac:dyDescent="0.3">
      <c r="A108" t="s">
        <v>25</v>
      </c>
      <c r="B108">
        <v>78826</v>
      </c>
      <c r="C108" t="s">
        <v>140</v>
      </c>
      <c r="D108" t="s">
        <v>16</v>
      </c>
      <c r="E108">
        <v>32218.5</v>
      </c>
      <c r="F108" s="1">
        <v>42950</v>
      </c>
      <c r="G108">
        <v>0.75</v>
      </c>
      <c r="H108" t="s">
        <v>17</v>
      </c>
      <c r="I108" t="s">
        <v>13</v>
      </c>
    </row>
    <row r="109" spans="1:9" x14ac:dyDescent="0.3">
      <c r="A109" t="s">
        <v>25</v>
      </c>
      <c r="B109">
        <v>29446</v>
      </c>
      <c r="C109" t="s">
        <v>141</v>
      </c>
      <c r="D109" t="s">
        <v>24</v>
      </c>
      <c r="E109">
        <v>84436.34</v>
      </c>
      <c r="F109" s="1">
        <v>43889</v>
      </c>
      <c r="G109">
        <v>0.5</v>
      </c>
      <c r="H109" t="s">
        <v>17</v>
      </c>
      <c r="I109" t="s">
        <v>18</v>
      </c>
    </row>
    <row r="110" spans="1:9" x14ac:dyDescent="0.3">
      <c r="A110" t="s">
        <v>38</v>
      </c>
      <c r="B110">
        <v>43670</v>
      </c>
      <c r="C110" t="s">
        <v>142</v>
      </c>
      <c r="D110" t="s">
        <v>37</v>
      </c>
      <c r="E110">
        <v>107325.8</v>
      </c>
      <c r="F110" s="1">
        <v>44891</v>
      </c>
      <c r="G110">
        <v>1</v>
      </c>
      <c r="H110" t="s">
        <v>12</v>
      </c>
      <c r="I110" t="s">
        <v>58</v>
      </c>
    </row>
    <row r="111" spans="1:9" x14ac:dyDescent="0.3">
      <c r="A111" t="s">
        <v>27</v>
      </c>
      <c r="B111">
        <v>88982</v>
      </c>
      <c r="C111" t="s">
        <v>143</v>
      </c>
      <c r="D111" t="s">
        <v>37</v>
      </c>
      <c r="E111">
        <v>46829.25</v>
      </c>
      <c r="F111" s="1">
        <v>43210</v>
      </c>
      <c r="G111">
        <v>1</v>
      </c>
      <c r="H111" t="s">
        <v>17</v>
      </c>
      <c r="I111" t="s">
        <v>144</v>
      </c>
    </row>
    <row r="112" spans="1:9" x14ac:dyDescent="0.3">
      <c r="A112" t="s">
        <v>47</v>
      </c>
      <c r="B112">
        <v>30434</v>
      </c>
      <c r="C112" t="s">
        <v>145</v>
      </c>
      <c r="D112" t="s">
        <v>21</v>
      </c>
      <c r="E112">
        <v>40115.19</v>
      </c>
      <c r="F112" s="1">
        <v>42472</v>
      </c>
      <c r="G112">
        <v>0.5</v>
      </c>
      <c r="H112" t="s">
        <v>17</v>
      </c>
      <c r="I112" t="s">
        <v>58</v>
      </c>
    </row>
    <row r="113" spans="1:9" x14ac:dyDescent="0.3">
      <c r="A113" t="s">
        <v>27</v>
      </c>
      <c r="B113">
        <v>59676</v>
      </c>
      <c r="C113" t="s">
        <v>146</v>
      </c>
      <c r="D113" t="s">
        <v>24</v>
      </c>
      <c r="E113">
        <v>61000.46</v>
      </c>
      <c r="F113" s="1">
        <v>44174</v>
      </c>
      <c r="G113">
        <v>1</v>
      </c>
      <c r="H113" t="s">
        <v>17</v>
      </c>
      <c r="I113" t="s">
        <v>58</v>
      </c>
    </row>
    <row r="114" spans="1:9" x14ac:dyDescent="0.3">
      <c r="A114" t="s">
        <v>14</v>
      </c>
      <c r="B114">
        <v>86408</v>
      </c>
      <c r="C114" t="s">
        <v>147</v>
      </c>
      <c r="D114" t="s">
        <v>16</v>
      </c>
      <c r="E114">
        <v>116325.44</v>
      </c>
      <c r="F114" s="1">
        <v>44204</v>
      </c>
      <c r="G114">
        <v>1</v>
      </c>
      <c r="H114" t="s">
        <v>12</v>
      </c>
      <c r="I114" t="s">
        <v>58</v>
      </c>
    </row>
    <row r="115" spans="1:9" x14ac:dyDescent="0.3">
      <c r="A115" t="s">
        <v>9</v>
      </c>
      <c r="B115">
        <v>48585</v>
      </c>
      <c r="C115" t="s">
        <v>148</v>
      </c>
      <c r="D115" t="s">
        <v>37</v>
      </c>
      <c r="E115">
        <v>41714.19</v>
      </c>
      <c r="F115" s="1">
        <v>44677</v>
      </c>
      <c r="G115">
        <v>0.5</v>
      </c>
      <c r="H115" t="s">
        <v>12</v>
      </c>
      <c r="I115" t="s">
        <v>13</v>
      </c>
    </row>
    <row r="116" spans="1:9" x14ac:dyDescent="0.3">
      <c r="A116" t="s">
        <v>14</v>
      </c>
      <c r="B116">
        <v>71660</v>
      </c>
      <c r="C116" t="s">
        <v>149</v>
      </c>
      <c r="D116" t="s">
        <v>31</v>
      </c>
      <c r="E116">
        <v>116986.73</v>
      </c>
      <c r="F116" s="1">
        <v>44979</v>
      </c>
      <c r="G116">
        <v>1</v>
      </c>
      <c r="H116" t="s">
        <v>12</v>
      </c>
      <c r="I116" t="s">
        <v>13</v>
      </c>
    </row>
    <row r="117" spans="1:9" x14ac:dyDescent="0.3">
      <c r="A117" t="s">
        <v>90</v>
      </c>
      <c r="B117">
        <v>18697</v>
      </c>
      <c r="C117" t="s">
        <v>150</v>
      </c>
      <c r="D117" t="s">
        <v>21</v>
      </c>
      <c r="E117">
        <v>62601.59</v>
      </c>
      <c r="F117" s="1">
        <v>44658</v>
      </c>
      <c r="G117">
        <v>1</v>
      </c>
      <c r="H117" t="s">
        <v>12</v>
      </c>
      <c r="I117" t="s">
        <v>13</v>
      </c>
    </row>
    <row r="118" spans="1:9" x14ac:dyDescent="0.3">
      <c r="A118" t="s">
        <v>22</v>
      </c>
      <c r="B118">
        <v>21094</v>
      </c>
      <c r="C118" t="s">
        <v>151</v>
      </c>
      <c r="D118" t="s">
        <v>11</v>
      </c>
      <c r="E118">
        <v>72603.34</v>
      </c>
      <c r="F118" s="1">
        <v>45305</v>
      </c>
      <c r="G118">
        <v>0.5</v>
      </c>
      <c r="H118" t="s">
        <v>12</v>
      </c>
      <c r="I118" t="s">
        <v>13</v>
      </c>
    </row>
    <row r="119" spans="1:9" x14ac:dyDescent="0.3">
      <c r="A119" t="s">
        <v>9</v>
      </c>
      <c r="B119">
        <v>77702</v>
      </c>
      <c r="C119" t="s">
        <v>152</v>
      </c>
      <c r="D119" t="s">
        <v>16</v>
      </c>
      <c r="E119">
        <v>56336.88</v>
      </c>
      <c r="F119" s="1">
        <v>43160</v>
      </c>
      <c r="G119">
        <v>0.5</v>
      </c>
      <c r="H119" t="s">
        <v>17</v>
      </c>
      <c r="I119" t="s">
        <v>13</v>
      </c>
    </row>
    <row r="120" spans="1:9" x14ac:dyDescent="0.3">
      <c r="A120" t="s">
        <v>19</v>
      </c>
      <c r="B120">
        <v>15166</v>
      </c>
      <c r="C120" t="s">
        <v>153</v>
      </c>
      <c r="D120" t="s">
        <v>31</v>
      </c>
      <c r="E120">
        <v>114341.42</v>
      </c>
      <c r="F120" s="1">
        <v>44270</v>
      </c>
      <c r="G120">
        <v>1</v>
      </c>
      <c r="H120" t="s">
        <v>12</v>
      </c>
      <c r="I120" t="s">
        <v>13</v>
      </c>
    </row>
    <row r="121" spans="1:9" x14ac:dyDescent="0.3">
      <c r="A121" t="s">
        <v>33</v>
      </c>
      <c r="B121">
        <v>39503</v>
      </c>
      <c r="C121" t="s">
        <v>154</v>
      </c>
      <c r="D121" t="s">
        <v>37</v>
      </c>
      <c r="E121">
        <v>116233.31</v>
      </c>
      <c r="F121" s="1">
        <v>44909</v>
      </c>
      <c r="G121">
        <v>1</v>
      </c>
      <c r="H121" t="s">
        <v>12</v>
      </c>
      <c r="I121" t="s">
        <v>13</v>
      </c>
    </row>
    <row r="122" spans="1:9" x14ac:dyDescent="0.3">
      <c r="A122" t="s">
        <v>19</v>
      </c>
      <c r="B122">
        <v>27104</v>
      </c>
      <c r="C122" t="s">
        <v>155</v>
      </c>
      <c r="D122" t="s">
        <v>16</v>
      </c>
      <c r="E122">
        <v>87232.41</v>
      </c>
      <c r="F122" s="1">
        <v>43722</v>
      </c>
      <c r="G122">
        <v>0.5</v>
      </c>
      <c r="H122" t="s">
        <v>17</v>
      </c>
      <c r="I122" t="s">
        <v>13</v>
      </c>
    </row>
    <row r="123" spans="1:9" x14ac:dyDescent="0.3">
      <c r="A123" t="s">
        <v>47</v>
      </c>
      <c r="B123">
        <v>15325</v>
      </c>
      <c r="C123" t="s">
        <v>156</v>
      </c>
      <c r="D123" t="s">
        <v>24</v>
      </c>
      <c r="E123">
        <v>46564.1</v>
      </c>
      <c r="F123" s="1">
        <v>44813</v>
      </c>
      <c r="G123">
        <v>0.75</v>
      </c>
      <c r="H123" t="s">
        <v>12</v>
      </c>
      <c r="I123" t="s">
        <v>13</v>
      </c>
    </row>
    <row r="124" spans="1:9" x14ac:dyDescent="0.3">
      <c r="A124" t="s">
        <v>14</v>
      </c>
      <c r="B124">
        <v>49380</v>
      </c>
      <c r="C124" t="s">
        <v>157</v>
      </c>
      <c r="D124" t="s">
        <v>11</v>
      </c>
      <c r="E124">
        <v>119365.66</v>
      </c>
      <c r="F124" s="1">
        <v>43234</v>
      </c>
      <c r="G124">
        <v>1</v>
      </c>
      <c r="H124" t="s">
        <v>17</v>
      </c>
      <c r="I124" t="s">
        <v>13</v>
      </c>
    </row>
    <row r="125" spans="1:9" x14ac:dyDescent="0.3">
      <c r="A125" t="s">
        <v>22</v>
      </c>
      <c r="B125">
        <v>12003</v>
      </c>
      <c r="C125" t="s">
        <v>158</v>
      </c>
      <c r="D125" t="s">
        <v>31</v>
      </c>
      <c r="E125">
        <v>39232.239999999998</v>
      </c>
      <c r="F125" s="1">
        <v>43743</v>
      </c>
      <c r="G125">
        <v>0.75</v>
      </c>
      <c r="H125" t="s">
        <v>17</v>
      </c>
      <c r="I125" t="s">
        <v>13</v>
      </c>
    </row>
    <row r="126" spans="1:9" x14ac:dyDescent="0.3">
      <c r="A126" t="s">
        <v>47</v>
      </c>
      <c r="B126">
        <v>68797</v>
      </c>
      <c r="C126" t="s">
        <v>159</v>
      </c>
      <c r="D126" t="s">
        <v>37</v>
      </c>
      <c r="E126">
        <v>82276.44</v>
      </c>
      <c r="F126" s="1">
        <v>45007</v>
      </c>
      <c r="G126">
        <v>0.75</v>
      </c>
      <c r="H126" t="s">
        <v>12</v>
      </c>
      <c r="I126" t="s">
        <v>13</v>
      </c>
    </row>
    <row r="127" spans="1:9" x14ac:dyDescent="0.3">
      <c r="A127" t="s">
        <v>27</v>
      </c>
      <c r="B127">
        <v>53331</v>
      </c>
      <c r="C127" t="s">
        <v>160</v>
      </c>
      <c r="D127" t="s">
        <v>21</v>
      </c>
      <c r="E127">
        <v>44076.28</v>
      </c>
      <c r="F127" s="1">
        <v>41799</v>
      </c>
      <c r="G127">
        <v>1</v>
      </c>
      <c r="H127" t="s">
        <v>17</v>
      </c>
      <c r="I127" t="s">
        <v>144</v>
      </c>
    </row>
    <row r="128" spans="1:9" x14ac:dyDescent="0.3">
      <c r="A128" t="s">
        <v>9</v>
      </c>
      <c r="B128">
        <v>31061</v>
      </c>
      <c r="C128" t="s">
        <v>161</v>
      </c>
      <c r="D128" t="s">
        <v>37</v>
      </c>
      <c r="E128">
        <v>110790.78</v>
      </c>
      <c r="F128" s="1">
        <v>42360</v>
      </c>
      <c r="G128">
        <v>1</v>
      </c>
      <c r="H128" t="s">
        <v>17</v>
      </c>
      <c r="I128" t="s">
        <v>58</v>
      </c>
    </row>
    <row r="129" spans="1:9" x14ac:dyDescent="0.3">
      <c r="A129" t="s">
        <v>19</v>
      </c>
      <c r="B129">
        <v>29506</v>
      </c>
      <c r="C129" t="s">
        <v>162</v>
      </c>
      <c r="D129" t="s">
        <v>37</v>
      </c>
      <c r="E129">
        <v>115111.06</v>
      </c>
      <c r="F129" s="1">
        <v>44720</v>
      </c>
      <c r="G129">
        <v>1</v>
      </c>
      <c r="H129" t="s">
        <v>12</v>
      </c>
      <c r="I129" t="s">
        <v>13</v>
      </c>
    </row>
    <row r="130" spans="1:9" x14ac:dyDescent="0.3">
      <c r="A130" t="s">
        <v>38</v>
      </c>
      <c r="B130">
        <v>95994</v>
      </c>
      <c r="C130" t="s">
        <v>163</v>
      </c>
      <c r="D130" t="s">
        <v>21</v>
      </c>
      <c r="E130">
        <v>102395.13</v>
      </c>
      <c r="F130" s="1">
        <v>43759</v>
      </c>
      <c r="G130">
        <v>1</v>
      </c>
      <c r="H130" t="s">
        <v>17</v>
      </c>
      <c r="I130" t="s">
        <v>13</v>
      </c>
    </row>
    <row r="131" spans="1:9" x14ac:dyDescent="0.3">
      <c r="A131" t="s">
        <v>27</v>
      </c>
      <c r="B131">
        <v>70389</v>
      </c>
      <c r="C131" t="s">
        <v>80</v>
      </c>
      <c r="D131" t="s">
        <v>31</v>
      </c>
      <c r="E131">
        <v>58430.23</v>
      </c>
      <c r="F131" s="1">
        <v>44238</v>
      </c>
      <c r="G131">
        <v>0.5</v>
      </c>
      <c r="H131" t="s">
        <v>17</v>
      </c>
      <c r="I131" t="s">
        <v>13</v>
      </c>
    </row>
    <row r="132" spans="1:9" x14ac:dyDescent="0.3">
      <c r="A132" t="s">
        <v>9</v>
      </c>
      <c r="B132">
        <v>58669</v>
      </c>
      <c r="C132" t="s">
        <v>164</v>
      </c>
      <c r="D132" t="s">
        <v>31</v>
      </c>
      <c r="E132">
        <v>51855.48</v>
      </c>
      <c r="F132" s="1">
        <v>43201</v>
      </c>
      <c r="G132">
        <v>0.75</v>
      </c>
      <c r="H132" t="s">
        <v>17</v>
      </c>
      <c r="I132" t="s">
        <v>13</v>
      </c>
    </row>
    <row r="133" spans="1:9" x14ac:dyDescent="0.3">
      <c r="A133" t="s">
        <v>90</v>
      </c>
      <c r="B133">
        <v>76191</v>
      </c>
      <c r="C133" t="s">
        <v>165</v>
      </c>
      <c r="D133" t="s">
        <v>24</v>
      </c>
      <c r="E133">
        <v>97937.26</v>
      </c>
      <c r="F133" s="1">
        <v>44469</v>
      </c>
      <c r="G133">
        <v>0.75</v>
      </c>
      <c r="H133" t="s">
        <v>17</v>
      </c>
      <c r="I133" t="s">
        <v>13</v>
      </c>
    </row>
    <row r="134" spans="1:9" x14ac:dyDescent="0.3">
      <c r="A134" t="s">
        <v>22</v>
      </c>
      <c r="B134">
        <v>60099</v>
      </c>
      <c r="C134" t="s">
        <v>166</v>
      </c>
      <c r="D134" t="s">
        <v>21</v>
      </c>
      <c r="E134">
        <v>56195.360000000001</v>
      </c>
      <c r="F134" s="1">
        <v>42091</v>
      </c>
      <c r="G134">
        <v>1</v>
      </c>
      <c r="H134" t="s">
        <v>17</v>
      </c>
      <c r="I134" t="s">
        <v>13</v>
      </c>
    </row>
    <row r="135" spans="1:9" x14ac:dyDescent="0.3">
      <c r="A135" t="s">
        <v>38</v>
      </c>
      <c r="B135">
        <v>79442</v>
      </c>
      <c r="C135" t="s">
        <v>167</v>
      </c>
      <c r="D135" t="s">
        <v>21</v>
      </c>
      <c r="E135">
        <v>67780.679999999993</v>
      </c>
      <c r="F135" s="1">
        <v>45364</v>
      </c>
      <c r="G135">
        <v>0.5</v>
      </c>
      <c r="H135" t="s">
        <v>12</v>
      </c>
      <c r="I135" t="s">
        <v>13</v>
      </c>
    </row>
    <row r="136" spans="1:9" x14ac:dyDescent="0.3">
      <c r="A136" t="s">
        <v>38</v>
      </c>
      <c r="B136">
        <v>75854</v>
      </c>
      <c r="C136" t="s">
        <v>168</v>
      </c>
      <c r="D136" t="s">
        <v>37</v>
      </c>
      <c r="E136">
        <v>34163.01</v>
      </c>
      <c r="F136" s="1">
        <v>42040</v>
      </c>
      <c r="G136">
        <v>1</v>
      </c>
      <c r="H136" t="s">
        <v>17</v>
      </c>
      <c r="I136" t="s">
        <v>13</v>
      </c>
    </row>
    <row r="137" spans="1:9" x14ac:dyDescent="0.3">
      <c r="A137" t="s">
        <v>9</v>
      </c>
      <c r="B137">
        <v>14406</v>
      </c>
      <c r="C137" t="s">
        <v>169</v>
      </c>
      <c r="D137" t="s">
        <v>37</v>
      </c>
      <c r="E137">
        <v>41901.040000000001</v>
      </c>
      <c r="F137" s="1">
        <v>44314</v>
      </c>
      <c r="G137">
        <v>0.75</v>
      </c>
      <c r="H137" t="s">
        <v>17</v>
      </c>
      <c r="I137" t="s">
        <v>13</v>
      </c>
    </row>
    <row r="138" spans="1:9" x14ac:dyDescent="0.3">
      <c r="A138" t="s">
        <v>47</v>
      </c>
      <c r="B138">
        <v>85218</v>
      </c>
      <c r="C138" t="s">
        <v>170</v>
      </c>
      <c r="D138" t="s">
        <v>31</v>
      </c>
      <c r="E138">
        <v>31849.47</v>
      </c>
      <c r="F138" s="1">
        <v>42369</v>
      </c>
      <c r="G138">
        <v>1</v>
      </c>
      <c r="H138" t="s">
        <v>17</v>
      </c>
      <c r="I138" t="s">
        <v>13</v>
      </c>
    </row>
    <row r="139" spans="1:9" x14ac:dyDescent="0.3">
      <c r="A139" t="s">
        <v>90</v>
      </c>
      <c r="B139">
        <v>21881</v>
      </c>
      <c r="C139" t="s">
        <v>171</v>
      </c>
      <c r="D139" t="s">
        <v>21</v>
      </c>
      <c r="E139">
        <v>37012.9</v>
      </c>
      <c r="F139" s="1">
        <v>43426</v>
      </c>
      <c r="G139">
        <v>1</v>
      </c>
      <c r="H139" t="s">
        <v>17</v>
      </c>
      <c r="I139" t="s">
        <v>13</v>
      </c>
    </row>
    <row r="140" spans="1:9" x14ac:dyDescent="0.3">
      <c r="A140" t="s">
        <v>33</v>
      </c>
      <c r="B140">
        <v>98941</v>
      </c>
      <c r="C140" t="s">
        <v>172</v>
      </c>
      <c r="D140" t="s">
        <v>31</v>
      </c>
      <c r="E140">
        <v>36589</v>
      </c>
      <c r="F140" s="1">
        <v>43033</v>
      </c>
      <c r="G140">
        <v>0.75</v>
      </c>
      <c r="H140" t="s">
        <v>17</v>
      </c>
      <c r="I140" t="s">
        <v>13</v>
      </c>
    </row>
    <row r="141" spans="1:9" x14ac:dyDescent="0.3">
      <c r="A141" t="s">
        <v>19</v>
      </c>
      <c r="B141">
        <v>77895</v>
      </c>
      <c r="C141" t="s">
        <v>173</v>
      </c>
      <c r="D141" t="s">
        <v>11</v>
      </c>
      <c r="E141">
        <v>67820.850000000006</v>
      </c>
      <c r="F141" s="1">
        <v>43819</v>
      </c>
      <c r="G141">
        <v>0.5</v>
      </c>
      <c r="H141" t="s">
        <v>17</v>
      </c>
      <c r="I141" t="s">
        <v>13</v>
      </c>
    </row>
    <row r="142" spans="1:9" x14ac:dyDescent="0.3">
      <c r="A142" t="s">
        <v>90</v>
      </c>
      <c r="B142">
        <v>88661</v>
      </c>
      <c r="C142" t="s">
        <v>174</v>
      </c>
      <c r="D142" t="s">
        <v>21</v>
      </c>
      <c r="E142">
        <v>79569.95</v>
      </c>
      <c r="F142" s="1">
        <v>42898</v>
      </c>
      <c r="G142">
        <v>1</v>
      </c>
      <c r="H142" t="s">
        <v>17</v>
      </c>
      <c r="I142" t="s">
        <v>144</v>
      </c>
    </row>
    <row r="143" spans="1:9" x14ac:dyDescent="0.3">
      <c r="A143" t="s">
        <v>14</v>
      </c>
      <c r="B143">
        <v>20008</v>
      </c>
      <c r="C143" t="s">
        <v>175</v>
      </c>
      <c r="D143" t="s">
        <v>21</v>
      </c>
      <c r="E143">
        <v>96679.09</v>
      </c>
      <c r="F143" s="1">
        <v>42491</v>
      </c>
      <c r="G143">
        <v>0.75</v>
      </c>
      <c r="H143" t="s">
        <v>17</v>
      </c>
      <c r="I143" t="s">
        <v>13</v>
      </c>
    </row>
    <row r="144" spans="1:9" x14ac:dyDescent="0.3">
      <c r="A144" t="s">
        <v>90</v>
      </c>
      <c r="B144">
        <v>65884</v>
      </c>
      <c r="C144" t="s">
        <v>176</v>
      </c>
      <c r="D144" t="s">
        <v>31</v>
      </c>
      <c r="E144">
        <v>42805.51</v>
      </c>
      <c r="F144" s="1">
        <v>42912</v>
      </c>
      <c r="G144">
        <v>1</v>
      </c>
      <c r="H144" t="s">
        <v>17</v>
      </c>
      <c r="I144" t="s">
        <v>13</v>
      </c>
    </row>
    <row r="145" spans="1:9" x14ac:dyDescent="0.3">
      <c r="A145" t="s">
        <v>33</v>
      </c>
      <c r="B145">
        <v>37014</v>
      </c>
      <c r="C145" t="s">
        <v>177</v>
      </c>
      <c r="D145" t="s">
        <v>37</v>
      </c>
      <c r="E145">
        <v>67996.990000000005</v>
      </c>
      <c r="F145" s="1">
        <v>44051</v>
      </c>
      <c r="G145">
        <v>0.5</v>
      </c>
      <c r="H145" t="s">
        <v>17</v>
      </c>
      <c r="I145" t="s">
        <v>13</v>
      </c>
    </row>
    <row r="146" spans="1:9" x14ac:dyDescent="0.3">
      <c r="A146" t="s">
        <v>25</v>
      </c>
      <c r="B146">
        <v>47966</v>
      </c>
      <c r="C146" t="s">
        <v>178</v>
      </c>
      <c r="D146" t="s">
        <v>37</v>
      </c>
      <c r="E146">
        <v>87326.94</v>
      </c>
      <c r="F146" s="1">
        <v>41964</v>
      </c>
      <c r="G146">
        <v>1</v>
      </c>
      <c r="H146" t="s">
        <v>17</v>
      </c>
      <c r="I146" t="s">
        <v>13</v>
      </c>
    </row>
    <row r="147" spans="1:9" x14ac:dyDescent="0.3">
      <c r="A147" t="s">
        <v>27</v>
      </c>
      <c r="B147">
        <v>80178</v>
      </c>
      <c r="C147" t="s">
        <v>179</v>
      </c>
      <c r="D147" t="s">
        <v>11</v>
      </c>
      <c r="E147">
        <v>37610.01</v>
      </c>
      <c r="F147" s="1">
        <v>43241</v>
      </c>
      <c r="G147">
        <v>0.5</v>
      </c>
      <c r="H147" t="s">
        <v>17</v>
      </c>
      <c r="I147" t="s">
        <v>13</v>
      </c>
    </row>
    <row r="148" spans="1:9" x14ac:dyDescent="0.3">
      <c r="A148" t="s">
        <v>38</v>
      </c>
      <c r="B148">
        <v>88461</v>
      </c>
      <c r="C148" t="s">
        <v>180</v>
      </c>
      <c r="D148" t="s">
        <v>11</v>
      </c>
      <c r="E148">
        <v>70033</v>
      </c>
      <c r="F148" s="1">
        <v>42060</v>
      </c>
      <c r="G148">
        <v>0.5</v>
      </c>
      <c r="H148" t="s">
        <v>17</v>
      </c>
      <c r="I148" t="s">
        <v>13</v>
      </c>
    </row>
    <row r="149" spans="1:9" x14ac:dyDescent="0.3">
      <c r="A149" t="s">
        <v>90</v>
      </c>
      <c r="B149">
        <v>64767</v>
      </c>
      <c r="C149" t="s">
        <v>181</v>
      </c>
      <c r="D149" t="s">
        <v>16</v>
      </c>
      <c r="E149">
        <v>63233.04</v>
      </c>
      <c r="F149" s="1">
        <v>41839</v>
      </c>
      <c r="G149">
        <v>0.5</v>
      </c>
      <c r="H149" t="s">
        <v>17</v>
      </c>
      <c r="I149" t="s">
        <v>13</v>
      </c>
    </row>
    <row r="150" spans="1:9" x14ac:dyDescent="0.3">
      <c r="A150" t="s">
        <v>27</v>
      </c>
      <c r="B150">
        <v>73204</v>
      </c>
      <c r="C150" t="s">
        <v>182</v>
      </c>
      <c r="D150" t="s">
        <v>16</v>
      </c>
      <c r="E150">
        <v>115403.87</v>
      </c>
      <c r="F150" s="1">
        <v>44166</v>
      </c>
      <c r="G150">
        <v>1</v>
      </c>
      <c r="H150" t="s">
        <v>17</v>
      </c>
      <c r="I150" t="s">
        <v>13</v>
      </c>
    </row>
    <row r="151" spans="1:9" x14ac:dyDescent="0.3">
      <c r="A151" t="s">
        <v>9</v>
      </c>
      <c r="B151">
        <v>60930</v>
      </c>
      <c r="C151" t="s">
        <v>183</v>
      </c>
      <c r="D151" t="s">
        <v>11</v>
      </c>
      <c r="E151">
        <v>35207.14</v>
      </c>
      <c r="F151" s="1">
        <v>45110</v>
      </c>
      <c r="G151">
        <v>0.75</v>
      </c>
      <c r="H151" t="s">
        <v>12</v>
      </c>
      <c r="I151" t="s">
        <v>13</v>
      </c>
    </row>
    <row r="152" spans="1:9" x14ac:dyDescent="0.3">
      <c r="A152" t="s">
        <v>9</v>
      </c>
      <c r="B152">
        <v>89617</v>
      </c>
      <c r="C152" t="s">
        <v>184</v>
      </c>
      <c r="D152" t="s">
        <v>24</v>
      </c>
      <c r="E152">
        <v>66776.36</v>
      </c>
      <c r="F152" s="1">
        <v>41817</v>
      </c>
      <c r="G152">
        <v>0.5</v>
      </c>
      <c r="H152" t="s">
        <v>17</v>
      </c>
      <c r="I152" t="s">
        <v>13</v>
      </c>
    </row>
    <row r="153" spans="1:9" x14ac:dyDescent="0.3">
      <c r="A153" t="s">
        <v>90</v>
      </c>
      <c r="B153">
        <v>86859</v>
      </c>
      <c r="C153" t="s">
        <v>185</v>
      </c>
      <c r="D153" t="s">
        <v>21</v>
      </c>
      <c r="E153">
        <v>67550.289999999994</v>
      </c>
      <c r="F153" s="1">
        <v>42594</v>
      </c>
      <c r="G153">
        <v>1</v>
      </c>
      <c r="H153" t="s">
        <v>17</v>
      </c>
      <c r="I153" t="s">
        <v>13</v>
      </c>
    </row>
    <row r="154" spans="1:9" x14ac:dyDescent="0.3">
      <c r="A154" t="s">
        <v>47</v>
      </c>
      <c r="B154">
        <v>40614</v>
      </c>
      <c r="C154" t="s">
        <v>186</v>
      </c>
      <c r="D154" t="s">
        <v>11</v>
      </c>
      <c r="E154">
        <v>95536.25</v>
      </c>
      <c r="F154" s="1">
        <v>42512</v>
      </c>
      <c r="G154">
        <v>1</v>
      </c>
      <c r="H154" t="s">
        <v>17</v>
      </c>
      <c r="I154" t="s">
        <v>13</v>
      </c>
    </row>
    <row r="155" spans="1:9" x14ac:dyDescent="0.3">
      <c r="A155" t="s">
        <v>9</v>
      </c>
      <c r="B155">
        <v>12684</v>
      </c>
      <c r="C155" t="s">
        <v>187</v>
      </c>
      <c r="D155" t="s">
        <v>31</v>
      </c>
      <c r="E155">
        <v>58860.39</v>
      </c>
      <c r="F155" s="1">
        <v>43027</v>
      </c>
      <c r="G155">
        <v>0.5</v>
      </c>
      <c r="H155" t="s">
        <v>17</v>
      </c>
      <c r="I155" t="s">
        <v>13</v>
      </c>
    </row>
    <row r="156" spans="1:9" x14ac:dyDescent="0.3">
      <c r="A156" t="s">
        <v>25</v>
      </c>
      <c r="B156">
        <v>96112</v>
      </c>
      <c r="C156" t="s">
        <v>188</v>
      </c>
      <c r="D156" t="s">
        <v>31</v>
      </c>
      <c r="E156">
        <v>48359.12</v>
      </c>
      <c r="F156" s="1">
        <v>42295</v>
      </c>
      <c r="G156">
        <v>0.75</v>
      </c>
      <c r="H156" t="s">
        <v>17</v>
      </c>
      <c r="I156" t="s">
        <v>13</v>
      </c>
    </row>
    <row r="157" spans="1:9" x14ac:dyDescent="0.3">
      <c r="A157" t="s">
        <v>38</v>
      </c>
      <c r="B157">
        <v>10031</v>
      </c>
      <c r="C157" t="s">
        <v>189</v>
      </c>
      <c r="D157" t="s">
        <v>31</v>
      </c>
      <c r="E157">
        <v>56398.05</v>
      </c>
      <c r="F157" s="1">
        <v>44685</v>
      </c>
      <c r="G157">
        <v>0.75</v>
      </c>
      <c r="H157" t="s">
        <v>12</v>
      </c>
      <c r="I157" t="s">
        <v>18</v>
      </c>
    </row>
    <row r="158" spans="1:9" x14ac:dyDescent="0.3">
      <c r="A158" t="s">
        <v>47</v>
      </c>
      <c r="B158">
        <v>33851</v>
      </c>
      <c r="C158" t="s">
        <v>190</v>
      </c>
      <c r="D158" t="s">
        <v>16</v>
      </c>
      <c r="E158">
        <v>72379.88</v>
      </c>
      <c r="F158" s="1">
        <v>43017</v>
      </c>
      <c r="G158">
        <v>0.5</v>
      </c>
      <c r="H158" t="s">
        <v>17</v>
      </c>
      <c r="I158" t="s">
        <v>144</v>
      </c>
    </row>
    <row r="159" spans="1:9" x14ac:dyDescent="0.3">
      <c r="A159" t="s">
        <v>27</v>
      </c>
      <c r="B159">
        <v>49641</v>
      </c>
      <c r="C159" t="s">
        <v>191</v>
      </c>
      <c r="D159" t="s">
        <v>11</v>
      </c>
      <c r="E159">
        <v>115524.15</v>
      </c>
      <c r="F159" s="1">
        <v>41798</v>
      </c>
      <c r="G159">
        <v>1</v>
      </c>
      <c r="H159" t="s">
        <v>17</v>
      </c>
      <c r="I159" t="s">
        <v>13</v>
      </c>
    </row>
    <row r="160" spans="1:9" x14ac:dyDescent="0.3">
      <c r="A160" t="s">
        <v>19</v>
      </c>
      <c r="B160">
        <v>76434</v>
      </c>
      <c r="C160" t="s">
        <v>192</v>
      </c>
      <c r="D160" t="s">
        <v>16</v>
      </c>
      <c r="E160">
        <v>101686.53</v>
      </c>
      <c r="F160" s="1">
        <v>45021</v>
      </c>
      <c r="G160">
        <v>1</v>
      </c>
      <c r="H160" t="s">
        <v>12</v>
      </c>
      <c r="I160" t="s">
        <v>13</v>
      </c>
    </row>
    <row r="161" spans="1:9" x14ac:dyDescent="0.3">
      <c r="A161" t="s">
        <v>14</v>
      </c>
      <c r="B161">
        <v>84745</v>
      </c>
      <c r="C161" t="s">
        <v>193</v>
      </c>
      <c r="D161" t="s">
        <v>31</v>
      </c>
      <c r="E161">
        <v>54927.32</v>
      </c>
      <c r="F161" s="1">
        <v>44368</v>
      </c>
      <c r="G161">
        <v>0.75</v>
      </c>
      <c r="H161" t="s">
        <v>12</v>
      </c>
      <c r="I161" t="s">
        <v>13</v>
      </c>
    </row>
    <row r="162" spans="1:9" x14ac:dyDescent="0.3">
      <c r="A162" t="s">
        <v>38</v>
      </c>
      <c r="B162">
        <v>43352</v>
      </c>
      <c r="C162" t="s">
        <v>194</v>
      </c>
      <c r="D162" t="s">
        <v>21</v>
      </c>
      <c r="E162">
        <v>80236.34</v>
      </c>
      <c r="F162" s="1">
        <v>42203</v>
      </c>
      <c r="G162">
        <v>0.5</v>
      </c>
      <c r="H162" t="s">
        <v>17</v>
      </c>
      <c r="I162" t="s">
        <v>13</v>
      </c>
    </row>
    <row r="163" spans="1:9" x14ac:dyDescent="0.3">
      <c r="A163" t="s">
        <v>14</v>
      </c>
      <c r="B163">
        <v>53605</v>
      </c>
      <c r="C163" t="s">
        <v>195</v>
      </c>
      <c r="D163" t="s">
        <v>31</v>
      </c>
      <c r="E163">
        <v>91938.03</v>
      </c>
      <c r="F163" s="1">
        <v>45125</v>
      </c>
      <c r="G163">
        <v>1</v>
      </c>
      <c r="H163" t="s">
        <v>12</v>
      </c>
      <c r="I163" t="s">
        <v>13</v>
      </c>
    </row>
    <row r="164" spans="1:9" x14ac:dyDescent="0.3">
      <c r="A164" t="s">
        <v>19</v>
      </c>
      <c r="B164">
        <v>18601</v>
      </c>
      <c r="C164" t="s">
        <v>196</v>
      </c>
      <c r="D164" t="s">
        <v>31</v>
      </c>
      <c r="E164">
        <v>101609.14</v>
      </c>
      <c r="F164" s="1">
        <v>42889</v>
      </c>
      <c r="G164">
        <v>1</v>
      </c>
      <c r="H164" t="s">
        <v>17</v>
      </c>
      <c r="I164" t="s">
        <v>13</v>
      </c>
    </row>
    <row r="165" spans="1:9" x14ac:dyDescent="0.3">
      <c r="A165" t="s">
        <v>9</v>
      </c>
      <c r="B165">
        <v>74685</v>
      </c>
      <c r="C165" t="s">
        <v>197</v>
      </c>
      <c r="D165" t="s">
        <v>21</v>
      </c>
      <c r="E165">
        <v>70154.789999999994</v>
      </c>
      <c r="F165" s="1">
        <v>43244</v>
      </c>
      <c r="G165">
        <v>1</v>
      </c>
      <c r="H165" t="s">
        <v>17</v>
      </c>
      <c r="I165" t="s">
        <v>13</v>
      </c>
    </row>
    <row r="166" spans="1:9" x14ac:dyDescent="0.3">
      <c r="A166" t="s">
        <v>22</v>
      </c>
      <c r="B166">
        <v>44341</v>
      </c>
      <c r="C166" t="s">
        <v>198</v>
      </c>
      <c r="D166" t="s">
        <v>24</v>
      </c>
      <c r="E166">
        <v>65889.919999999998</v>
      </c>
      <c r="F166" s="1">
        <v>43199</v>
      </c>
      <c r="G166">
        <v>0.75</v>
      </c>
      <c r="H166" t="s">
        <v>17</v>
      </c>
      <c r="I166" t="s">
        <v>13</v>
      </c>
    </row>
    <row r="167" spans="1:9" x14ac:dyDescent="0.3">
      <c r="A167" t="s">
        <v>25</v>
      </c>
      <c r="B167">
        <v>49689</v>
      </c>
      <c r="C167" t="s">
        <v>199</v>
      </c>
      <c r="D167" t="s">
        <v>24</v>
      </c>
      <c r="E167">
        <v>99087.67</v>
      </c>
      <c r="F167" s="1">
        <v>44370</v>
      </c>
      <c r="G167">
        <v>0.75</v>
      </c>
      <c r="H167" t="s">
        <v>17</v>
      </c>
      <c r="I167" t="s">
        <v>13</v>
      </c>
    </row>
    <row r="168" spans="1:9" x14ac:dyDescent="0.3">
      <c r="A168" t="s">
        <v>25</v>
      </c>
      <c r="B168">
        <v>63486</v>
      </c>
      <c r="C168" t="s">
        <v>200</v>
      </c>
      <c r="D168" t="s">
        <v>37</v>
      </c>
      <c r="E168">
        <v>68854.48</v>
      </c>
      <c r="F168" s="1">
        <v>44162</v>
      </c>
      <c r="G168">
        <v>0.75</v>
      </c>
      <c r="H168" t="s">
        <v>17</v>
      </c>
      <c r="I168" t="s">
        <v>13</v>
      </c>
    </row>
    <row r="169" spans="1:9" x14ac:dyDescent="0.3">
      <c r="A169" t="s">
        <v>25</v>
      </c>
      <c r="B169">
        <v>60352</v>
      </c>
      <c r="C169" t="s">
        <v>201</v>
      </c>
      <c r="D169" t="s">
        <v>21</v>
      </c>
      <c r="E169">
        <v>52316.19</v>
      </c>
      <c r="F169" s="1">
        <v>44738</v>
      </c>
      <c r="G169">
        <v>0.75</v>
      </c>
      <c r="H169" t="s">
        <v>12</v>
      </c>
      <c r="I169" t="s">
        <v>13</v>
      </c>
    </row>
    <row r="170" spans="1:9" x14ac:dyDescent="0.3">
      <c r="A170" t="s">
        <v>22</v>
      </c>
      <c r="B170">
        <v>60289</v>
      </c>
      <c r="C170" t="s">
        <v>202</v>
      </c>
      <c r="D170" t="s">
        <v>21</v>
      </c>
      <c r="E170">
        <v>70810.23</v>
      </c>
      <c r="F170" s="1">
        <v>41791</v>
      </c>
      <c r="G170">
        <v>1</v>
      </c>
      <c r="H170" t="s">
        <v>17</v>
      </c>
      <c r="I170" t="s">
        <v>13</v>
      </c>
    </row>
    <row r="171" spans="1:9" x14ac:dyDescent="0.3">
      <c r="A171" t="s">
        <v>38</v>
      </c>
      <c r="B171">
        <v>18160</v>
      </c>
      <c r="C171" t="s">
        <v>203</v>
      </c>
      <c r="D171" t="s">
        <v>24</v>
      </c>
      <c r="E171">
        <v>114339.42</v>
      </c>
      <c r="F171" s="1">
        <v>44497</v>
      </c>
      <c r="G171">
        <v>1</v>
      </c>
      <c r="H171" t="s">
        <v>17</v>
      </c>
      <c r="I171" t="s">
        <v>13</v>
      </c>
    </row>
    <row r="172" spans="1:9" x14ac:dyDescent="0.3">
      <c r="A172" t="s">
        <v>9</v>
      </c>
      <c r="B172">
        <v>31468</v>
      </c>
      <c r="C172" t="s">
        <v>204</v>
      </c>
      <c r="D172" t="s">
        <v>11</v>
      </c>
      <c r="E172">
        <v>42831.07</v>
      </c>
      <c r="F172" s="1">
        <v>43094</v>
      </c>
      <c r="G172">
        <v>0.75</v>
      </c>
      <c r="H172" t="s">
        <v>17</v>
      </c>
      <c r="I172" t="s">
        <v>13</v>
      </c>
    </row>
    <row r="173" spans="1:9" x14ac:dyDescent="0.3">
      <c r="A173" t="s">
        <v>19</v>
      </c>
      <c r="B173">
        <v>94015</v>
      </c>
      <c r="C173" t="s">
        <v>205</v>
      </c>
      <c r="D173" t="s">
        <v>11</v>
      </c>
      <c r="E173">
        <v>71619.179999999993</v>
      </c>
      <c r="F173" s="1">
        <v>44157</v>
      </c>
      <c r="G173">
        <v>0.75</v>
      </c>
      <c r="H173" t="s">
        <v>17</v>
      </c>
      <c r="I173" t="s">
        <v>206</v>
      </c>
    </row>
    <row r="174" spans="1:9" x14ac:dyDescent="0.3">
      <c r="A174" t="s">
        <v>47</v>
      </c>
      <c r="B174">
        <v>26688</v>
      </c>
      <c r="C174" t="s">
        <v>207</v>
      </c>
      <c r="D174" t="s">
        <v>16</v>
      </c>
      <c r="E174">
        <v>87357.32</v>
      </c>
      <c r="F174" s="1">
        <v>42044</v>
      </c>
      <c r="G174">
        <v>0.75</v>
      </c>
      <c r="H174" t="s">
        <v>17</v>
      </c>
      <c r="I174" t="s">
        <v>206</v>
      </c>
    </row>
    <row r="175" spans="1:9" x14ac:dyDescent="0.3">
      <c r="A175" t="s">
        <v>22</v>
      </c>
      <c r="B175">
        <v>41319</v>
      </c>
      <c r="C175" t="s">
        <v>208</v>
      </c>
      <c r="D175" t="s">
        <v>21</v>
      </c>
      <c r="E175">
        <v>73495.92</v>
      </c>
      <c r="F175" s="1">
        <v>43462</v>
      </c>
      <c r="G175">
        <v>0.5</v>
      </c>
      <c r="H175" t="s">
        <v>17</v>
      </c>
      <c r="I175" t="s">
        <v>144</v>
      </c>
    </row>
    <row r="176" spans="1:9" x14ac:dyDescent="0.3">
      <c r="A176" t="s">
        <v>14</v>
      </c>
      <c r="B176">
        <v>47629</v>
      </c>
      <c r="C176" t="s">
        <v>209</v>
      </c>
      <c r="D176" t="s">
        <v>31</v>
      </c>
      <c r="E176">
        <v>48327.59</v>
      </c>
      <c r="F176" s="1">
        <v>41966</v>
      </c>
      <c r="G176">
        <v>0.75</v>
      </c>
      <c r="H176" t="s">
        <v>17</v>
      </c>
      <c r="I176" t="s">
        <v>13</v>
      </c>
    </row>
    <row r="177" spans="1:9" x14ac:dyDescent="0.3">
      <c r="A177" t="s">
        <v>25</v>
      </c>
      <c r="B177">
        <v>53781</v>
      </c>
      <c r="C177" t="s">
        <v>210</v>
      </c>
      <c r="D177" t="s">
        <v>37</v>
      </c>
      <c r="E177">
        <v>30165.88</v>
      </c>
      <c r="F177" s="1">
        <v>45410</v>
      </c>
      <c r="G177">
        <v>0.75</v>
      </c>
      <c r="H177" t="s">
        <v>35</v>
      </c>
      <c r="I177" t="s">
        <v>13</v>
      </c>
    </row>
    <row r="178" spans="1:9" x14ac:dyDescent="0.3">
      <c r="A178" t="s">
        <v>27</v>
      </c>
      <c r="B178">
        <v>17278</v>
      </c>
      <c r="C178" t="s">
        <v>211</v>
      </c>
      <c r="D178" t="s">
        <v>16</v>
      </c>
      <c r="E178">
        <v>92909.25</v>
      </c>
      <c r="F178" s="1">
        <v>43945</v>
      </c>
      <c r="G178">
        <v>0.75</v>
      </c>
      <c r="H178" t="s">
        <v>17</v>
      </c>
      <c r="I178" t="s">
        <v>13</v>
      </c>
    </row>
    <row r="179" spans="1:9" x14ac:dyDescent="0.3">
      <c r="A179" t="s">
        <v>9</v>
      </c>
      <c r="B179">
        <v>14709</v>
      </c>
      <c r="C179" t="s">
        <v>212</v>
      </c>
      <c r="D179" t="s">
        <v>37</v>
      </c>
      <c r="E179">
        <v>85686.2</v>
      </c>
      <c r="F179" s="1">
        <v>44072</v>
      </c>
      <c r="G179">
        <v>0.5</v>
      </c>
      <c r="H179" t="s">
        <v>17</v>
      </c>
      <c r="I179" t="s">
        <v>13</v>
      </c>
    </row>
    <row r="180" spans="1:9" x14ac:dyDescent="0.3">
      <c r="A180" t="s">
        <v>47</v>
      </c>
      <c r="B180">
        <v>73088</v>
      </c>
      <c r="C180" t="s">
        <v>213</v>
      </c>
      <c r="D180" t="s">
        <v>24</v>
      </c>
      <c r="E180">
        <v>30699.9</v>
      </c>
      <c r="F180" s="1">
        <v>43885</v>
      </c>
      <c r="G180">
        <v>0.5</v>
      </c>
      <c r="H180" t="s">
        <v>17</v>
      </c>
      <c r="I180" t="s">
        <v>13</v>
      </c>
    </row>
    <row r="181" spans="1:9" x14ac:dyDescent="0.3">
      <c r="A181" t="s">
        <v>19</v>
      </c>
      <c r="B181">
        <v>64770</v>
      </c>
      <c r="C181" t="s">
        <v>214</v>
      </c>
      <c r="D181" t="s">
        <v>16</v>
      </c>
      <c r="E181">
        <v>56870.41</v>
      </c>
      <c r="F181" s="1">
        <v>44609</v>
      </c>
      <c r="G181">
        <v>0.5</v>
      </c>
      <c r="H181" t="s">
        <v>17</v>
      </c>
      <c r="I181" t="s">
        <v>13</v>
      </c>
    </row>
    <row r="182" spans="1:9" x14ac:dyDescent="0.3">
      <c r="A182" t="s">
        <v>38</v>
      </c>
      <c r="B182">
        <v>28468</v>
      </c>
      <c r="C182" t="s">
        <v>215</v>
      </c>
      <c r="D182" t="s">
        <v>21</v>
      </c>
      <c r="E182">
        <v>99177.08</v>
      </c>
      <c r="F182" s="1">
        <v>42623</v>
      </c>
      <c r="G182">
        <v>1</v>
      </c>
      <c r="H182" t="s">
        <v>17</v>
      </c>
      <c r="I182" t="s">
        <v>13</v>
      </c>
    </row>
    <row r="183" spans="1:9" x14ac:dyDescent="0.3">
      <c r="A183" t="s">
        <v>9</v>
      </c>
      <c r="B183">
        <v>74465</v>
      </c>
      <c r="C183" t="s">
        <v>216</v>
      </c>
      <c r="D183" t="s">
        <v>16</v>
      </c>
      <c r="E183">
        <v>86602.83</v>
      </c>
      <c r="F183" s="1">
        <v>45001</v>
      </c>
      <c r="G183">
        <v>0.5</v>
      </c>
      <c r="H183" t="s">
        <v>12</v>
      </c>
      <c r="I183" t="s">
        <v>13</v>
      </c>
    </row>
    <row r="184" spans="1:9" x14ac:dyDescent="0.3">
      <c r="A184" t="s">
        <v>47</v>
      </c>
      <c r="B184">
        <v>88900</v>
      </c>
      <c r="C184" t="s">
        <v>217</v>
      </c>
      <c r="D184" t="s">
        <v>37</v>
      </c>
      <c r="E184">
        <v>79068.73</v>
      </c>
      <c r="F184" s="1">
        <v>42360</v>
      </c>
      <c r="G184">
        <v>1</v>
      </c>
      <c r="H184" t="s">
        <v>17</v>
      </c>
      <c r="I184" t="s">
        <v>13</v>
      </c>
    </row>
    <row r="185" spans="1:9" x14ac:dyDescent="0.3">
      <c r="A185" t="s">
        <v>47</v>
      </c>
      <c r="B185">
        <v>20698</v>
      </c>
      <c r="C185" t="s">
        <v>218</v>
      </c>
      <c r="D185" t="s">
        <v>31</v>
      </c>
      <c r="E185">
        <v>44059.9</v>
      </c>
      <c r="F185" s="1">
        <v>43353</v>
      </c>
      <c r="G185">
        <v>0.5</v>
      </c>
      <c r="H185" t="s">
        <v>17</v>
      </c>
      <c r="I185" t="s">
        <v>13</v>
      </c>
    </row>
    <row r="186" spans="1:9" x14ac:dyDescent="0.3">
      <c r="A186" t="s">
        <v>90</v>
      </c>
      <c r="B186">
        <v>98282</v>
      </c>
      <c r="C186" t="s">
        <v>219</v>
      </c>
      <c r="D186" t="s">
        <v>31</v>
      </c>
      <c r="E186">
        <v>93566.46</v>
      </c>
      <c r="F186" s="1">
        <v>42430</v>
      </c>
      <c r="G186">
        <v>1</v>
      </c>
      <c r="H186" t="s">
        <v>17</v>
      </c>
      <c r="I186" t="s">
        <v>13</v>
      </c>
    </row>
    <row r="187" spans="1:9" x14ac:dyDescent="0.3">
      <c r="A187" t="s">
        <v>38</v>
      </c>
      <c r="B187">
        <v>29840</v>
      </c>
      <c r="C187" t="s">
        <v>220</v>
      </c>
      <c r="D187" t="s">
        <v>11</v>
      </c>
      <c r="E187">
        <v>72429.14</v>
      </c>
      <c r="F187" s="1">
        <v>42432</v>
      </c>
      <c r="G187">
        <v>0.5</v>
      </c>
      <c r="H187" t="s">
        <v>17</v>
      </c>
      <c r="I187" t="s">
        <v>13</v>
      </c>
    </row>
    <row r="188" spans="1:9" x14ac:dyDescent="0.3">
      <c r="A188" t="s">
        <v>38</v>
      </c>
      <c r="B188">
        <v>56238</v>
      </c>
      <c r="C188" t="s">
        <v>221</v>
      </c>
      <c r="D188" t="s">
        <v>31</v>
      </c>
      <c r="E188">
        <v>91036.09</v>
      </c>
      <c r="F188" s="1">
        <v>43484</v>
      </c>
      <c r="G188">
        <v>0.5</v>
      </c>
      <c r="H188" t="s">
        <v>17</v>
      </c>
      <c r="I188" t="s">
        <v>13</v>
      </c>
    </row>
    <row r="189" spans="1:9" x14ac:dyDescent="0.3">
      <c r="A189" t="s">
        <v>33</v>
      </c>
      <c r="B189">
        <v>63888</v>
      </c>
      <c r="C189" t="s">
        <v>222</v>
      </c>
      <c r="D189" t="s">
        <v>24</v>
      </c>
      <c r="E189">
        <v>98408.09</v>
      </c>
      <c r="F189" s="1">
        <v>41938</v>
      </c>
      <c r="G189">
        <v>0.5</v>
      </c>
      <c r="H189" t="s">
        <v>17</v>
      </c>
      <c r="I189" t="s">
        <v>13</v>
      </c>
    </row>
    <row r="190" spans="1:9" x14ac:dyDescent="0.3">
      <c r="A190" t="s">
        <v>47</v>
      </c>
      <c r="B190">
        <v>14611</v>
      </c>
      <c r="C190" t="s">
        <v>223</v>
      </c>
      <c r="D190" t="s">
        <v>21</v>
      </c>
      <c r="E190">
        <v>50912.639999999999</v>
      </c>
      <c r="F190" s="1">
        <v>42670</v>
      </c>
      <c r="G190">
        <v>0.75</v>
      </c>
      <c r="H190" t="s">
        <v>17</v>
      </c>
      <c r="I190" t="s">
        <v>13</v>
      </c>
    </row>
    <row r="191" spans="1:9" x14ac:dyDescent="0.3">
      <c r="A191" t="s">
        <v>14</v>
      </c>
      <c r="B191">
        <v>90186</v>
      </c>
      <c r="C191" t="s">
        <v>224</v>
      </c>
      <c r="D191" t="s">
        <v>11</v>
      </c>
      <c r="E191">
        <v>98579.55</v>
      </c>
      <c r="F191" s="1">
        <v>42633</v>
      </c>
      <c r="G191">
        <v>0.75</v>
      </c>
      <c r="H191" t="s">
        <v>17</v>
      </c>
      <c r="I191" t="s">
        <v>13</v>
      </c>
    </row>
    <row r="192" spans="1:9" x14ac:dyDescent="0.3">
      <c r="A192" t="s">
        <v>22</v>
      </c>
      <c r="B192">
        <v>71116</v>
      </c>
      <c r="C192" t="s">
        <v>225</v>
      </c>
      <c r="D192" t="s">
        <v>16</v>
      </c>
      <c r="E192">
        <v>55207.95</v>
      </c>
      <c r="F192" s="1">
        <v>44143</v>
      </c>
      <c r="G192">
        <v>1</v>
      </c>
      <c r="H192" t="s">
        <v>17</v>
      </c>
      <c r="I192" t="s">
        <v>13</v>
      </c>
    </row>
    <row r="193" spans="1:9" x14ac:dyDescent="0.3">
      <c r="A193" t="s">
        <v>33</v>
      </c>
      <c r="B193">
        <v>60683</v>
      </c>
      <c r="C193" t="s">
        <v>226</v>
      </c>
      <c r="D193" t="s">
        <v>31</v>
      </c>
      <c r="E193">
        <v>118561.36</v>
      </c>
      <c r="F193" s="1">
        <v>43075</v>
      </c>
      <c r="G193">
        <v>1</v>
      </c>
      <c r="H193" t="s">
        <v>17</v>
      </c>
      <c r="I193" t="s">
        <v>13</v>
      </c>
    </row>
    <row r="194" spans="1:9" x14ac:dyDescent="0.3">
      <c r="A194" t="s">
        <v>47</v>
      </c>
      <c r="B194">
        <v>70146</v>
      </c>
      <c r="C194" t="s">
        <v>227</v>
      </c>
      <c r="D194" t="s">
        <v>21</v>
      </c>
      <c r="E194">
        <v>40874.839999999997</v>
      </c>
      <c r="F194" s="1">
        <v>45350</v>
      </c>
      <c r="G194">
        <v>0.75</v>
      </c>
      <c r="H194" t="s">
        <v>12</v>
      </c>
      <c r="I194" t="s">
        <v>13</v>
      </c>
    </row>
    <row r="195" spans="1:9" x14ac:dyDescent="0.3">
      <c r="A195" t="s">
        <v>25</v>
      </c>
      <c r="B195">
        <v>16164</v>
      </c>
      <c r="C195" t="s">
        <v>228</v>
      </c>
      <c r="D195" t="s">
        <v>21</v>
      </c>
      <c r="E195">
        <v>109534.62</v>
      </c>
      <c r="F195" s="1">
        <v>43774</v>
      </c>
      <c r="G195">
        <v>1</v>
      </c>
      <c r="H195" t="s">
        <v>17</v>
      </c>
      <c r="I195" t="s">
        <v>206</v>
      </c>
    </row>
    <row r="196" spans="1:9" x14ac:dyDescent="0.3">
      <c r="A196" t="s">
        <v>25</v>
      </c>
      <c r="B196">
        <v>23301</v>
      </c>
      <c r="C196" t="s">
        <v>229</v>
      </c>
      <c r="D196" t="s">
        <v>37</v>
      </c>
      <c r="E196">
        <v>33649.24</v>
      </c>
      <c r="F196" s="1">
        <v>43042</v>
      </c>
      <c r="G196">
        <v>0.75</v>
      </c>
      <c r="H196" t="s">
        <v>17</v>
      </c>
      <c r="I196" t="s">
        <v>206</v>
      </c>
    </row>
    <row r="197" spans="1:9" x14ac:dyDescent="0.3">
      <c r="A197" t="s">
        <v>25</v>
      </c>
      <c r="B197">
        <v>71720</v>
      </c>
      <c r="C197" t="s">
        <v>230</v>
      </c>
      <c r="D197" t="s">
        <v>16</v>
      </c>
      <c r="E197">
        <v>53091.82</v>
      </c>
      <c r="F197" s="1">
        <v>44406</v>
      </c>
      <c r="G197">
        <v>0.75</v>
      </c>
      <c r="H197" t="s">
        <v>17</v>
      </c>
      <c r="I197" t="s">
        <v>13</v>
      </c>
    </row>
    <row r="198" spans="1:9" x14ac:dyDescent="0.3">
      <c r="A198" t="s">
        <v>33</v>
      </c>
      <c r="B198">
        <v>12651</v>
      </c>
      <c r="C198" t="s">
        <v>231</v>
      </c>
      <c r="D198" t="s">
        <v>11</v>
      </c>
      <c r="E198">
        <v>77349.17</v>
      </c>
      <c r="F198" s="1">
        <v>44945</v>
      </c>
      <c r="G198">
        <v>0.75</v>
      </c>
      <c r="H198" t="s">
        <v>35</v>
      </c>
      <c r="I198" t="s">
        <v>13</v>
      </c>
    </row>
    <row r="199" spans="1:9" x14ac:dyDescent="0.3">
      <c r="A199" t="s">
        <v>90</v>
      </c>
      <c r="B199">
        <v>14255</v>
      </c>
      <c r="C199" t="s">
        <v>232</v>
      </c>
      <c r="D199" t="s">
        <v>31</v>
      </c>
      <c r="E199">
        <v>82345.460000000006</v>
      </c>
      <c r="F199" s="1">
        <v>44898</v>
      </c>
      <c r="G199">
        <v>1</v>
      </c>
      <c r="H199" t="s">
        <v>12</v>
      </c>
      <c r="I199" t="s">
        <v>13</v>
      </c>
    </row>
    <row r="200" spans="1:9" x14ac:dyDescent="0.3">
      <c r="A200" t="s">
        <v>38</v>
      </c>
      <c r="B200">
        <v>88420</v>
      </c>
      <c r="C200" t="s">
        <v>233</v>
      </c>
      <c r="D200" t="s">
        <v>16</v>
      </c>
      <c r="E200">
        <v>65661.149999999994</v>
      </c>
      <c r="F200" s="1">
        <v>42536</v>
      </c>
      <c r="G200">
        <v>1</v>
      </c>
      <c r="H200" t="s">
        <v>17</v>
      </c>
      <c r="I200" t="s">
        <v>13</v>
      </c>
    </row>
    <row r="201" spans="1:9" x14ac:dyDescent="0.3">
      <c r="A201" t="s">
        <v>25</v>
      </c>
      <c r="B201">
        <v>90923</v>
      </c>
      <c r="C201" t="s">
        <v>234</v>
      </c>
      <c r="D201" t="s">
        <v>24</v>
      </c>
      <c r="E201">
        <v>39182.86</v>
      </c>
      <c r="F201" s="1">
        <v>45266</v>
      </c>
      <c r="G201">
        <v>0.5</v>
      </c>
      <c r="H201" t="s">
        <v>35</v>
      </c>
      <c r="I201" t="s">
        <v>13</v>
      </c>
    </row>
    <row r="202" spans="1:9" x14ac:dyDescent="0.3">
      <c r="A202" t="s">
        <v>47</v>
      </c>
      <c r="B202">
        <v>27393</v>
      </c>
      <c r="C202" t="s">
        <v>235</v>
      </c>
      <c r="D202" t="s">
        <v>16</v>
      </c>
      <c r="E202">
        <v>52734.73</v>
      </c>
      <c r="F202" s="1">
        <v>42444</v>
      </c>
      <c r="G202">
        <v>1</v>
      </c>
      <c r="H202" t="s">
        <v>17</v>
      </c>
      <c r="I202" t="s">
        <v>13</v>
      </c>
    </row>
    <row r="203" spans="1:9" x14ac:dyDescent="0.3">
      <c r="A203" t="s">
        <v>38</v>
      </c>
      <c r="B203">
        <v>92570</v>
      </c>
      <c r="C203" t="s">
        <v>236</v>
      </c>
      <c r="D203" t="s">
        <v>31</v>
      </c>
      <c r="E203">
        <v>55505.69</v>
      </c>
      <c r="F203" s="1">
        <v>44738</v>
      </c>
      <c r="G203">
        <v>0.75</v>
      </c>
      <c r="H203" t="s">
        <v>12</v>
      </c>
      <c r="I203" t="s">
        <v>13</v>
      </c>
    </row>
    <row r="204" spans="1:9" x14ac:dyDescent="0.3">
      <c r="A204" t="s">
        <v>14</v>
      </c>
      <c r="B204">
        <v>52455</v>
      </c>
      <c r="C204" t="s">
        <v>237</v>
      </c>
      <c r="D204" t="s">
        <v>16</v>
      </c>
      <c r="E204">
        <v>97970.06</v>
      </c>
      <c r="F204" s="1">
        <v>42562</v>
      </c>
      <c r="G204">
        <v>0.75</v>
      </c>
      <c r="H204" t="s">
        <v>17</v>
      </c>
      <c r="I204" t="s">
        <v>13</v>
      </c>
    </row>
    <row r="205" spans="1:9" x14ac:dyDescent="0.3">
      <c r="A205" t="s">
        <v>25</v>
      </c>
      <c r="B205">
        <v>23800</v>
      </c>
      <c r="C205" t="s">
        <v>238</v>
      </c>
      <c r="D205" t="s">
        <v>21</v>
      </c>
      <c r="E205">
        <v>111789.69</v>
      </c>
      <c r="F205" s="1">
        <v>44951</v>
      </c>
      <c r="G205">
        <v>1</v>
      </c>
      <c r="H205" t="s">
        <v>12</v>
      </c>
      <c r="I205" t="s">
        <v>13</v>
      </c>
    </row>
    <row r="206" spans="1:9" x14ac:dyDescent="0.3">
      <c r="A206" t="s">
        <v>9</v>
      </c>
      <c r="B206">
        <v>81977</v>
      </c>
      <c r="C206" t="s">
        <v>239</v>
      </c>
      <c r="D206" t="s">
        <v>21</v>
      </c>
      <c r="E206">
        <v>83586.89</v>
      </c>
      <c r="F206" s="1">
        <v>44570</v>
      </c>
      <c r="G206">
        <v>0.5</v>
      </c>
      <c r="H206" t="s">
        <v>12</v>
      </c>
      <c r="I206" t="s">
        <v>13</v>
      </c>
    </row>
    <row r="207" spans="1:9" x14ac:dyDescent="0.3">
      <c r="A207" t="s">
        <v>27</v>
      </c>
      <c r="B207">
        <v>95064</v>
      </c>
      <c r="C207" t="s">
        <v>240</v>
      </c>
      <c r="D207" t="s">
        <v>37</v>
      </c>
      <c r="E207">
        <v>33190.589999999997</v>
      </c>
      <c r="F207" s="1">
        <v>44708</v>
      </c>
      <c r="G207">
        <v>1</v>
      </c>
      <c r="H207" t="s">
        <v>12</v>
      </c>
      <c r="I207" t="s">
        <v>13</v>
      </c>
    </row>
    <row r="208" spans="1:9" x14ac:dyDescent="0.3">
      <c r="A208" t="s">
        <v>9</v>
      </c>
      <c r="B208">
        <v>55438</v>
      </c>
      <c r="C208" t="s">
        <v>241</v>
      </c>
      <c r="D208" t="s">
        <v>24</v>
      </c>
      <c r="E208">
        <v>101301.28</v>
      </c>
      <c r="F208" s="1">
        <v>42899</v>
      </c>
      <c r="G208">
        <v>1</v>
      </c>
      <c r="H208" t="s">
        <v>17</v>
      </c>
      <c r="I208" t="s">
        <v>13</v>
      </c>
    </row>
    <row r="209" spans="1:9" x14ac:dyDescent="0.3">
      <c r="A209" t="s">
        <v>27</v>
      </c>
      <c r="B209">
        <v>35555</v>
      </c>
      <c r="C209" t="s">
        <v>242</v>
      </c>
      <c r="D209" t="s">
        <v>16</v>
      </c>
      <c r="E209">
        <v>57504.35</v>
      </c>
      <c r="F209" s="1">
        <v>44615</v>
      </c>
      <c r="G209">
        <v>1</v>
      </c>
      <c r="H209" t="s">
        <v>17</v>
      </c>
      <c r="I209" t="s">
        <v>13</v>
      </c>
    </row>
    <row r="210" spans="1:9" x14ac:dyDescent="0.3">
      <c r="A210" t="s">
        <v>22</v>
      </c>
      <c r="B210">
        <v>60254</v>
      </c>
      <c r="C210" t="s">
        <v>243</v>
      </c>
      <c r="D210" t="s">
        <v>31</v>
      </c>
      <c r="E210">
        <v>60590.14</v>
      </c>
      <c r="F210" s="1">
        <v>45192</v>
      </c>
      <c r="G210">
        <v>1</v>
      </c>
      <c r="H210" t="s">
        <v>12</v>
      </c>
      <c r="I210" t="s">
        <v>13</v>
      </c>
    </row>
    <row r="211" spans="1:9" x14ac:dyDescent="0.3">
      <c r="A211" t="s">
        <v>22</v>
      </c>
      <c r="B211">
        <v>74267</v>
      </c>
      <c r="C211" t="s">
        <v>244</v>
      </c>
      <c r="D211" t="s">
        <v>24</v>
      </c>
      <c r="E211">
        <v>77716.69</v>
      </c>
      <c r="F211" s="1">
        <v>43900</v>
      </c>
      <c r="G211">
        <v>0.75</v>
      </c>
      <c r="H211" t="s">
        <v>17</v>
      </c>
      <c r="I211" t="s">
        <v>13</v>
      </c>
    </row>
    <row r="212" spans="1:9" x14ac:dyDescent="0.3">
      <c r="A212" t="s">
        <v>9</v>
      </c>
      <c r="B212">
        <v>24548</v>
      </c>
      <c r="C212" t="s">
        <v>245</v>
      </c>
      <c r="D212" t="s">
        <v>21</v>
      </c>
      <c r="E212">
        <v>52414.23</v>
      </c>
      <c r="F212" s="1">
        <v>42589</v>
      </c>
      <c r="G212">
        <v>1</v>
      </c>
      <c r="H212" t="s">
        <v>17</v>
      </c>
      <c r="I212" t="s">
        <v>13</v>
      </c>
    </row>
    <row r="213" spans="1:9" x14ac:dyDescent="0.3">
      <c r="A213" t="s">
        <v>19</v>
      </c>
      <c r="B213">
        <v>17885</v>
      </c>
      <c r="C213" t="s">
        <v>246</v>
      </c>
      <c r="D213" t="s">
        <v>16</v>
      </c>
      <c r="E213">
        <v>112798.03</v>
      </c>
      <c r="F213" s="1">
        <v>44375</v>
      </c>
      <c r="G213">
        <v>1</v>
      </c>
      <c r="H213" t="s">
        <v>12</v>
      </c>
      <c r="I213" t="s">
        <v>13</v>
      </c>
    </row>
    <row r="214" spans="1:9" x14ac:dyDescent="0.3">
      <c r="A214" t="s">
        <v>19</v>
      </c>
      <c r="B214">
        <v>89969</v>
      </c>
      <c r="C214" t="s">
        <v>247</v>
      </c>
      <c r="D214" t="s">
        <v>24</v>
      </c>
      <c r="E214">
        <v>44719.93</v>
      </c>
      <c r="F214" s="1">
        <v>43370</v>
      </c>
      <c r="G214">
        <v>1</v>
      </c>
      <c r="H214" t="s">
        <v>17</v>
      </c>
      <c r="I214" t="s">
        <v>13</v>
      </c>
    </row>
    <row r="215" spans="1:9" x14ac:dyDescent="0.3">
      <c r="A215" t="s">
        <v>27</v>
      </c>
      <c r="B215">
        <v>71235</v>
      </c>
      <c r="C215" t="s">
        <v>248</v>
      </c>
      <c r="D215" t="s">
        <v>21</v>
      </c>
      <c r="E215">
        <v>67334.740000000005</v>
      </c>
      <c r="F215" s="1">
        <v>44133</v>
      </c>
      <c r="G215">
        <v>0.5</v>
      </c>
      <c r="H215" t="s">
        <v>17</v>
      </c>
      <c r="I215" t="s">
        <v>13</v>
      </c>
    </row>
    <row r="216" spans="1:9" x14ac:dyDescent="0.3">
      <c r="A216" t="s">
        <v>90</v>
      </c>
      <c r="B216">
        <v>90521</v>
      </c>
      <c r="C216" t="s">
        <v>249</v>
      </c>
      <c r="D216" t="s">
        <v>11</v>
      </c>
      <c r="E216">
        <v>56072.28</v>
      </c>
      <c r="F216" s="1">
        <v>42277</v>
      </c>
      <c r="G216">
        <v>0.5</v>
      </c>
      <c r="H216" t="s">
        <v>17</v>
      </c>
      <c r="I216" t="s">
        <v>13</v>
      </c>
    </row>
    <row r="217" spans="1:9" x14ac:dyDescent="0.3">
      <c r="A217" t="s">
        <v>22</v>
      </c>
      <c r="B217">
        <v>92878</v>
      </c>
      <c r="C217" t="s">
        <v>250</v>
      </c>
      <c r="D217" t="s">
        <v>11</v>
      </c>
      <c r="E217">
        <v>76785.070000000007</v>
      </c>
      <c r="F217" s="1">
        <v>45299</v>
      </c>
      <c r="G217">
        <v>1</v>
      </c>
      <c r="H217" t="s">
        <v>35</v>
      </c>
      <c r="I217" t="s">
        <v>13</v>
      </c>
    </row>
    <row r="218" spans="1:9" x14ac:dyDescent="0.3">
      <c r="A218" t="s">
        <v>38</v>
      </c>
      <c r="B218">
        <v>54284</v>
      </c>
      <c r="C218" t="s">
        <v>251</v>
      </c>
      <c r="D218" t="s">
        <v>21</v>
      </c>
      <c r="E218">
        <v>81658.36</v>
      </c>
      <c r="F218" s="1">
        <v>44929</v>
      </c>
      <c r="G218">
        <v>0.5</v>
      </c>
      <c r="H218" t="s">
        <v>12</v>
      </c>
      <c r="I218" t="s">
        <v>13</v>
      </c>
    </row>
    <row r="219" spans="1:9" x14ac:dyDescent="0.3">
      <c r="A219" t="s">
        <v>27</v>
      </c>
      <c r="B219">
        <v>95258</v>
      </c>
      <c r="C219" t="s">
        <v>252</v>
      </c>
      <c r="D219" t="s">
        <v>24</v>
      </c>
      <c r="E219">
        <v>86442.57</v>
      </c>
      <c r="F219" s="1">
        <v>43874</v>
      </c>
      <c r="G219">
        <v>0.75</v>
      </c>
      <c r="H219" t="s">
        <v>17</v>
      </c>
      <c r="I219" t="s">
        <v>13</v>
      </c>
    </row>
    <row r="220" spans="1:9" x14ac:dyDescent="0.3">
      <c r="A220" t="s">
        <v>19</v>
      </c>
      <c r="B220">
        <v>99460</v>
      </c>
      <c r="C220" t="s">
        <v>253</v>
      </c>
      <c r="D220" t="s">
        <v>21</v>
      </c>
      <c r="E220">
        <v>77823.820000000007</v>
      </c>
      <c r="F220" s="1">
        <v>43240</v>
      </c>
      <c r="G220">
        <v>1</v>
      </c>
      <c r="H220" t="s">
        <v>17</v>
      </c>
      <c r="I220" t="s">
        <v>13</v>
      </c>
    </row>
    <row r="221" spans="1:9" x14ac:dyDescent="0.3">
      <c r="A221" t="s">
        <v>25</v>
      </c>
      <c r="B221">
        <v>91531</v>
      </c>
      <c r="C221" t="s">
        <v>254</v>
      </c>
      <c r="D221" t="s">
        <v>11</v>
      </c>
      <c r="E221">
        <v>66972.41</v>
      </c>
      <c r="F221" s="1">
        <v>44608</v>
      </c>
      <c r="G221">
        <v>1</v>
      </c>
      <c r="H221" t="s">
        <v>12</v>
      </c>
      <c r="I221" t="s">
        <v>76</v>
      </c>
    </row>
    <row r="222" spans="1:9" x14ac:dyDescent="0.3">
      <c r="A222" t="s">
        <v>27</v>
      </c>
      <c r="B222">
        <v>48847</v>
      </c>
      <c r="C222" t="s">
        <v>255</v>
      </c>
      <c r="D222" t="s">
        <v>37</v>
      </c>
      <c r="E222">
        <v>87113.46</v>
      </c>
      <c r="F222" s="1">
        <v>43332</v>
      </c>
      <c r="G222">
        <v>0.5</v>
      </c>
      <c r="H222" t="s">
        <v>17</v>
      </c>
      <c r="I222" t="s">
        <v>13</v>
      </c>
    </row>
    <row r="223" spans="1:9" x14ac:dyDescent="0.3">
      <c r="A223" t="s">
        <v>47</v>
      </c>
      <c r="B223">
        <v>26660</v>
      </c>
      <c r="C223" t="s">
        <v>256</v>
      </c>
      <c r="D223" t="s">
        <v>21</v>
      </c>
      <c r="E223">
        <v>66307.16</v>
      </c>
      <c r="F223" s="1">
        <v>43970</v>
      </c>
      <c r="G223">
        <v>0.75</v>
      </c>
      <c r="H223" t="s">
        <v>17</v>
      </c>
      <c r="I223" t="s">
        <v>13</v>
      </c>
    </row>
    <row r="224" spans="1:9" x14ac:dyDescent="0.3">
      <c r="A224" t="s">
        <v>27</v>
      </c>
      <c r="B224">
        <v>60809</v>
      </c>
      <c r="C224" t="s">
        <v>257</v>
      </c>
      <c r="D224" t="s">
        <v>21</v>
      </c>
      <c r="E224">
        <v>100069.52</v>
      </c>
      <c r="F224" s="1">
        <v>44775</v>
      </c>
      <c r="G224">
        <v>1</v>
      </c>
      <c r="H224" t="s">
        <v>12</v>
      </c>
      <c r="I224" t="s">
        <v>13</v>
      </c>
    </row>
    <row r="225" spans="1:9" x14ac:dyDescent="0.3">
      <c r="A225" t="s">
        <v>25</v>
      </c>
      <c r="B225">
        <v>48509</v>
      </c>
      <c r="C225" t="s">
        <v>258</v>
      </c>
      <c r="D225" t="s">
        <v>11</v>
      </c>
      <c r="E225">
        <v>100935.97</v>
      </c>
      <c r="F225" s="1">
        <v>44338</v>
      </c>
      <c r="G225">
        <v>1</v>
      </c>
      <c r="H225" t="s">
        <v>12</v>
      </c>
      <c r="I225" t="s">
        <v>13</v>
      </c>
    </row>
    <row r="226" spans="1:9" x14ac:dyDescent="0.3">
      <c r="A226" t="s">
        <v>27</v>
      </c>
      <c r="B226">
        <v>99260</v>
      </c>
      <c r="C226" t="s">
        <v>259</v>
      </c>
      <c r="D226" t="s">
        <v>11</v>
      </c>
      <c r="E226">
        <v>56302.879999999997</v>
      </c>
      <c r="F226" s="1">
        <v>41937</v>
      </c>
      <c r="G226">
        <v>0.75</v>
      </c>
      <c r="H226" t="s">
        <v>17</v>
      </c>
      <c r="I226" t="s">
        <v>13</v>
      </c>
    </row>
    <row r="227" spans="1:9" x14ac:dyDescent="0.3">
      <c r="A227" t="s">
        <v>90</v>
      </c>
      <c r="B227">
        <v>25932</v>
      </c>
      <c r="C227" t="s">
        <v>260</v>
      </c>
      <c r="D227" t="s">
        <v>16</v>
      </c>
      <c r="E227">
        <v>63462.39</v>
      </c>
      <c r="F227" s="1">
        <v>44566</v>
      </c>
      <c r="G227">
        <v>0.5</v>
      </c>
      <c r="H227" t="s">
        <v>12</v>
      </c>
      <c r="I227" t="s">
        <v>13</v>
      </c>
    </row>
    <row r="228" spans="1:9" x14ac:dyDescent="0.3">
      <c r="A228" t="s">
        <v>27</v>
      </c>
      <c r="B228">
        <v>78027</v>
      </c>
      <c r="C228" t="s">
        <v>261</v>
      </c>
      <c r="D228" t="s">
        <v>24</v>
      </c>
      <c r="E228">
        <v>86592.98</v>
      </c>
      <c r="F228" s="1">
        <v>41826</v>
      </c>
      <c r="G228">
        <v>1</v>
      </c>
      <c r="H228" t="s">
        <v>17</v>
      </c>
      <c r="I228" t="s">
        <v>13</v>
      </c>
    </row>
    <row r="229" spans="1:9" x14ac:dyDescent="0.3">
      <c r="A229" t="s">
        <v>33</v>
      </c>
      <c r="B229">
        <v>34789</v>
      </c>
      <c r="C229" t="s">
        <v>262</v>
      </c>
      <c r="D229" t="s">
        <v>24</v>
      </c>
      <c r="E229">
        <v>44136.3</v>
      </c>
      <c r="F229" s="1">
        <v>45221</v>
      </c>
      <c r="G229">
        <v>0.75</v>
      </c>
      <c r="H229" t="s">
        <v>35</v>
      </c>
      <c r="I229" t="s">
        <v>13</v>
      </c>
    </row>
    <row r="230" spans="1:9" x14ac:dyDescent="0.3">
      <c r="A230" t="s">
        <v>9</v>
      </c>
      <c r="B230">
        <v>15004</v>
      </c>
      <c r="C230" t="s">
        <v>263</v>
      </c>
      <c r="D230" t="s">
        <v>16</v>
      </c>
      <c r="E230">
        <v>92732.87</v>
      </c>
      <c r="F230" s="1">
        <v>44304</v>
      </c>
      <c r="G230">
        <v>0.75</v>
      </c>
      <c r="H230" t="s">
        <v>17</v>
      </c>
      <c r="I230" t="s">
        <v>13</v>
      </c>
    </row>
    <row r="231" spans="1:9" x14ac:dyDescent="0.3">
      <c r="A231" t="s">
        <v>19</v>
      </c>
      <c r="B231">
        <v>61383</v>
      </c>
      <c r="C231" t="s">
        <v>264</v>
      </c>
      <c r="D231" t="s">
        <v>31</v>
      </c>
      <c r="E231">
        <v>64328.5</v>
      </c>
      <c r="F231" s="1">
        <v>44560</v>
      </c>
      <c r="G231">
        <v>1</v>
      </c>
      <c r="H231" t="s">
        <v>17</v>
      </c>
      <c r="I231" t="s">
        <v>13</v>
      </c>
    </row>
    <row r="232" spans="1:9" x14ac:dyDescent="0.3">
      <c r="A232" t="s">
        <v>9</v>
      </c>
      <c r="B232">
        <v>68271</v>
      </c>
      <c r="C232" t="s">
        <v>265</v>
      </c>
      <c r="D232" t="s">
        <v>37</v>
      </c>
      <c r="E232">
        <v>83195.62</v>
      </c>
      <c r="F232" s="1">
        <v>43180</v>
      </c>
      <c r="G232">
        <v>0.5</v>
      </c>
      <c r="H232" t="s">
        <v>17</v>
      </c>
      <c r="I232" t="s">
        <v>13</v>
      </c>
    </row>
    <row r="233" spans="1:9" x14ac:dyDescent="0.3">
      <c r="A233" t="s">
        <v>25</v>
      </c>
      <c r="B233">
        <v>58703</v>
      </c>
      <c r="C233" t="s">
        <v>266</v>
      </c>
      <c r="D233" t="s">
        <v>11</v>
      </c>
      <c r="E233">
        <v>42557.98</v>
      </c>
      <c r="F233" s="1">
        <v>44457</v>
      </c>
      <c r="G233">
        <v>1</v>
      </c>
      <c r="H233" t="s">
        <v>12</v>
      </c>
      <c r="I233" t="s">
        <v>13</v>
      </c>
    </row>
    <row r="234" spans="1:9" x14ac:dyDescent="0.3">
      <c r="A234" t="s">
        <v>22</v>
      </c>
      <c r="B234">
        <v>34966</v>
      </c>
      <c r="C234" t="s">
        <v>267</v>
      </c>
      <c r="D234" t="s">
        <v>11</v>
      </c>
      <c r="E234">
        <v>90143.25</v>
      </c>
      <c r="F234" s="1">
        <v>43286</v>
      </c>
      <c r="G234">
        <v>1</v>
      </c>
      <c r="H234" t="s">
        <v>17</v>
      </c>
      <c r="I234" t="s">
        <v>13</v>
      </c>
    </row>
    <row r="235" spans="1:9" x14ac:dyDescent="0.3">
      <c r="A235" t="s">
        <v>38</v>
      </c>
      <c r="B235">
        <v>69699</v>
      </c>
      <c r="C235" t="s">
        <v>268</v>
      </c>
      <c r="D235" t="s">
        <v>37</v>
      </c>
      <c r="E235">
        <v>61865.21</v>
      </c>
      <c r="F235" s="1">
        <v>43362</v>
      </c>
      <c r="G235">
        <v>0.5</v>
      </c>
      <c r="H235" t="s">
        <v>17</v>
      </c>
      <c r="I235" t="s">
        <v>13</v>
      </c>
    </row>
    <row r="236" spans="1:9" x14ac:dyDescent="0.3">
      <c r="A236" t="s">
        <v>22</v>
      </c>
      <c r="B236">
        <v>56734</v>
      </c>
      <c r="C236" t="s">
        <v>269</v>
      </c>
      <c r="D236" t="s">
        <v>37</v>
      </c>
      <c r="E236">
        <v>72539.899999999994</v>
      </c>
      <c r="F236" s="1">
        <v>44754</v>
      </c>
      <c r="G236">
        <v>0.5</v>
      </c>
      <c r="H236" t="s">
        <v>17</v>
      </c>
      <c r="I236" t="s">
        <v>13</v>
      </c>
    </row>
    <row r="237" spans="1:9" x14ac:dyDescent="0.3">
      <c r="A237" t="s">
        <v>19</v>
      </c>
      <c r="B237">
        <v>92839</v>
      </c>
      <c r="C237" t="s">
        <v>270</v>
      </c>
      <c r="D237" t="s">
        <v>31</v>
      </c>
      <c r="E237">
        <v>67359.67</v>
      </c>
      <c r="F237" s="1">
        <v>44741</v>
      </c>
      <c r="G237">
        <v>1</v>
      </c>
      <c r="H237" t="s">
        <v>12</v>
      </c>
      <c r="I237" t="s">
        <v>13</v>
      </c>
    </row>
    <row r="238" spans="1:9" x14ac:dyDescent="0.3">
      <c r="A238" t="s">
        <v>27</v>
      </c>
      <c r="B238">
        <v>19874</v>
      </c>
      <c r="C238" t="s">
        <v>271</v>
      </c>
      <c r="D238" t="s">
        <v>24</v>
      </c>
      <c r="E238">
        <v>72904.37</v>
      </c>
      <c r="F238" s="1">
        <v>42665</v>
      </c>
      <c r="G238">
        <v>1</v>
      </c>
      <c r="H238" t="s">
        <v>17</v>
      </c>
      <c r="I238" t="s">
        <v>13</v>
      </c>
    </row>
    <row r="239" spans="1:9" x14ac:dyDescent="0.3">
      <c r="A239" t="s">
        <v>19</v>
      </c>
      <c r="B239">
        <v>15851</v>
      </c>
      <c r="C239" t="s">
        <v>272</v>
      </c>
      <c r="D239" t="s">
        <v>16</v>
      </c>
      <c r="E239">
        <v>92522.61</v>
      </c>
      <c r="F239" s="1">
        <v>43207</v>
      </c>
      <c r="G239">
        <v>1</v>
      </c>
      <c r="H239" t="s">
        <v>17</v>
      </c>
      <c r="I239" t="s">
        <v>13</v>
      </c>
    </row>
    <row r="240" spans="1:9" x14ac:dyDescent="0.3">
      <c r="A240" t="s">
        <v>25</v>
      </c>
      <c r="B240">
        <v>15240</v>
      </c>
      <c r="C240" t="s">
        <v>273</v>
      </c>
      <c r="D240" t="s">
        <v>37</v>
      </c>
      <c r="E240">
        <v>58641.62</v>
      </c>
      <c r="F240" s="1">
        <v>44528</v>
      </c>
      <c r="G240">
        <v>1</v>
      </c>
      <c r="H240" t="s">
        <v>17</v>
      </c>
      <c r="I240" t="s">
        <v>13</v>
      </c>
    </row>
    <row r="241" spans="1:9" x14ac:dyDescent="0.3">
      <c r="A241" t="s">
        <v>25</v>
      </c>
      <c r="B241">
        <v>73722</v>
      </c>
      <c r="C241" t="s">
        <v>274</v>
      </c>
      <c r="D241" t="s">
        <v>24</v>
      </c>
      <c r="E241">
        <v>88684.9</v>
      </c>
      <c r="F241" s="1">
        <v>43550</v>
      </c>
      <c r="G241">
        <v>0.75</v>
      </c>
      <c r="H241" t="s">
        <v>17</v>
      </c>
      <c r="I241" t="s">
        <v>13</v>
      </c>
    </row>
    <row r="242" spans="1:9" x14ac:dyDescent="0.3">
      <c r="A242" t="s">
        <v>47</v>
      </c>
      <c r="B242">
        <v>43473</v>
      </c>
      <c r="C242" t="s">
        <v>275</v>
      </c>
      <c r="D242" t="s">
        <v>16</v>
      </c>
      <c r="E242">
        <v>35419.99</v>
      </c>
      <c r="F242" s="1">
        <v>44025</v>
      </c>
      <c r="G242">
        <v>0.75</v>
      </c>
      <c r="H242" t="s">
        <v>17</v>
      </c>
      <c r="I242" t="s">
        <v>13</v>
      </c>
    </row>
    <row r="243" spans="1:9" x14ac:dyDescent="0.3">
      <c r="A243" t="s">
        <v>90</v>
      </c>
      <c r="B243">
        <v>13493</v>
      </c>
      <c r="C243" t="s">
        <v>276</v>
      </c>
      <c r="D243" t="s">
        <v>21</v>
      </c>
      <c r="E243">
        <v>57016.66</v>
      </c>
      <c r="F243" s="1">
        <v>44810</v>
      </c>
      <c r="G243">
        <v>0.75</v>
      </c>
      <c r="H243" t="s">
        <v>17</v>
      </c>
      <c r="I243" t="s">
        <v>13</v>
      </c>
    </row>
    <row r="244" spans="1:9" x14ac:dyDescent="0.3">
      <c r="A244" t="s">
        <v>90</v>
      </c>
      <c r="B244">
        <v>78165</v>
      </c>
      <c r="C244" t="s">
        <v>277</v>
      </c>
      <c r="D244" t="s">
        <v>24</v>
      </c>
      <c r="E244">
        <v>97068.87</v>
      </c>
      <c r="F244" s="1">
        <v>42713</v>
      </c>
      <c r="G244">
        <v>0.75</v>
      </c>
      <c r="H244" t="s">
        <v>17</v>
      </c>
      <c r="I244" t="s">
        <v>13</v>
      </c>
    </row>
    <row r="245" spans="1:9" x14ac:dyDescent="0.3">
      <c r="A245" t="s">
        <v>22</v>
      </c>
      <c r="B245">
        <v>97360</v>
      </c>
      <c r="C245" t="s">
        <v>278</v>
      </c>
      <c r="D245" t="s">
        <v>37</v>
      </c>
      <c r="E245">
        <v>34716.53</v>
      </c>
      <c r="F245" s="1">
        <v>45034</v>
      </c>
      <c r="G245">
        <v>0.5</v>
      </c>
      <c r="H245" t="s">
        <v>12</v>
      </c>
      <c r="I245" t="s">
        <v>13</v>
      </c>
    </row>
    <row r="246" spans="1:9" x14ac:dyDescent="0.3">
      <c r="A246" t="s">
        <v>90</v>
      </c>
      <c r="B246">
        <v>84613</v>
      </c>
      <c r="C246" t="s">
        <v>279</v>
      </c>
      <c r="D246" t="s">
        <v>11</v>
      </c>
      <c r="E246">
        <v>85902.8</v>
      </c>
      <c r="F246" s="1">
        <v>42333</v>
      </c>
      <c r="G246">
        <v>0.75</v>
      </c>
      <c r="H246" t="s">
        <v>17</v>
      </c>
      <c r="I246" t="s">
        <v>13</v>
      </c>
    </row>
    <row r="247" spans="1:9" x14ac:dyDescent="0.3">
      <c r="A247" t="s">
        <v>9</v>
      </c>
      <c r="B247">
        <v>84946</v>
      </c>
      <c r="C247" t="s">
        <v>280</v>
      </c>
      <c r="D247" t="s">
        <v>11</v>
      </c>
      <c r="E247">
        <v>32299.21</v>
      </c>
      <c r="F247" s="1">
        <v>42954</v>
      </c>
      <c r="G247">
        <v>0.75</v>
      </c>
      <c r="H247" t="s">
        <v>17</v>
      </c>
      <c r="I247" t="s">
        <v>13</v>
      </c>
    </row>
    <row r="248" spans="1:9" x14ac:dyDescent="0.3">
      <c r="A248" t="s">
        <v>22</v>
      </c>
      <c r="B248">
        <v>38308</v>
      </c>
      <c r="C248" t="s">
        <v>281</v>
      </c>
      <c r="D248" t="s">
        <v>21</v>
      </c>
      <c r="E248">
        <v>72437.600000000006</v>
      </c>
      <c r="F248" s="1">
        <v>43652</v>
      </c>
      <c r="G248">
        <v>1</v>
      </c>
      <c r="H248" t="s">
        <v>17</v>
      </c>
      <c r="I248" t="s">
        <v>13</v>
      </c>
    </row>
    <row r="249" spans="1:9" x14ac:dyDescent="0.3">
      <c r="A249" t="s">
        <v>47</v>
      </c>
      <c r="B249">
        <v>40101</v>
      </c>
      <c r="C249" t="s">
        <v>282</v>
      </c>
      <c r="D249" t="s">
        <v>31</v>
      </c>
      <c r="E249">
        <v>109969.05</v>
      </c>
      <c r="F249" s="1">
        <v>45006</v>
      </c>
      <c r="G249">
        <v>1</v>
      </c>
      <c r="H249" t="s">
        <v>12</v>
      </c>
      <c r="I249" t="s">
        <v>144</v>
      </c>
    </row>
    <row r="250" spans="1:9" x14ac:dyDescent="0.3">
      <c r="A250" t="s">
        <v>22</v>
      </c>
      <c r="B250">
        <v>22252</v>
      </c>
      <c r="C250" t="s">
        <v>283</v>
      </c>
      <c r="D250" t="s">
        <v>31</v>
      </c>
      <c r="E250">
        <v>30909.91</v>
      </c>
      <c r="F250" s="1">
        <v>42551</v>
      </c>
      <c r="G250">
        <v>1</v>
      </c>
      <c r="H250" t="s">
        <v>17</v>
      </c>
      <c r="I250" t="s">
        <v>18</v>
      </c>
    </row>
    <row r="251" spans="1:9" x14ac:dyDescent="0.3">
      <c r="A251" t="s">
        <v>25</v>
      </c>
      <c r="B251">
        <v>92238</v>
      </c>
      <c r="C251" t="s">
        <v>284</v>
      </c>
      <c r="D251" t="s">
        <v>24</v>
      </c>
      <c r="E251">
        <v>77414.52</v>
      </c>
      <c r="F251" s="1">
        <v>42155</v>
      </c>
      <c r="G251">
        <v>1</v>
      </c>
      <c r="H251" t="s">
        <v>17</v>
      </c>
      <c r="I251" t="s">
        <v>13</v>
      </c>
    </row>
    <row r="252" spans="1:9" x14ac:dyDescent="0.3">
      <c r="A252" t="s">
        <v>14</v>
      </c>
      <c r="B252">
        <v>75852</v>
      </c>
      <c r="C252" t="s">
        <v>285</v>
      </c>
      <c r="D252" t="s">
        <v>31</v>
      </c>
      <c r="E252">
        <v>35981.11</v>
      </c>
      <c r="F252" s="1">
        <v>42752</v>
      </c>
      <c r="G252">
        <v>0.5</v>
      </c>
      <c r="H252" t="s">
        <v>17</v>
      </c>
      <c r="I252" t="s">
        <v>13</v>
      </c>
    </row>
    <row r="253" spans="1:9" x14ac:dyDescent="0.3">
      <c r="A253" t="s">
        <v>38</v>
      </c>
      <c r="B253">
        <v>78643</v>
      </c>
      <c r="C253" t="s">
        <v>286</v>
      </c>
      <c r="D253" t="s">
        <v>31</v>
      </c>
      <c r="E253">
        <v>108039.88</v>
      </c>
      <c r="F253" s="1">
        <v>43919</v>
      </c>
      <c r="G253">
        <v>1</v>
      </c>
      <c r="H253" t="s">
        <v>17</v>
      </c>
      <c r="I253" t="s">
        <v>13</v>
      </c>
    </row>
    <row r="254" spans="1:9" x14ac:dyDescent="0.3">
      <c r="A254" t="s">
        <v>33</v>
      </c>
      <c r="B254">
        <v>65064</v>
      </c>
      <c r="C254" t="s">
        <v>287</v>
      </c>
      <c r="D254" t="s">
        <v>16</v>
      </c>
      <c r="E254">
        <v>91766.69</v>
      </c>
      <c r="F254" s="1">
        <v>42016</v>
      </c>
      <c r="G254">
        <v>0.75</v>
      </c>
      <c r="H254" t="s">
        <v>17</v>
      </c>
      <c r="I254" t="s">
        <v>13</v>
      </c>
    </row>
    <row r="255" spans="1:9" x14ac:dyDescent="0.3">
      <c r="A255" t="s">
        <v>22</v>
      </c>
      <c r="B255">
        <v>76467</v>
      </c>
      <c r="C255" t="s">
        <v>288</v>
      </c>
      <c r="D255" t="s">
        <v>16</v>
      </c>
      <c r="E255">
        <v>96775.85</v>
      </c>
      <c r="F255" s="1">
        <v>43867</v>
      </c>
      <c r="G255">
        <v>1</v>
      </c>
      <c r="H255" t="s">
        <v>17</v>
      </c>
      <c r="I255" t="s">
        <v>13</v>
      </c>
    </row>
    <row r="256" spans="1:9" x14ac:dyDescent="0.3">
      <c r="A256" t="s">
        <v>25</v>
      </c>
      <c r="B256">
        <v>50017</v>
      </c>
      <c r="C256" t="s">
        <v>289</v>
      </c>
      <c r="D256" t="s">
        <v>31</v>
      </c>
      <c r="E256">
        <v>90210.68</v>
      </c>
      <c r="F256" s="1">
        <v>42785</v>
      </c>
      <c r="G256">
        <v>1</v>
      </c>
      <c r="H256" t="s">
        <v>17</v>
      </c>
      <c r="I256" t="s">
        <v>13</v>
      </c>
    </row>
    <row r="257" spans="1:9" x14ac:dyDescent="0.3">
      <c r="A257" t="s">
        <v>38</v>
      </c>
      <c r="B257">
        <v>24869</v>
      </c>
      <c r="C257" t="s">
        <v>290</v>
      </c>
      <c r="D257" t="s">
        <v>37</v>
      </c>
      <c r="E257">
        <v>30578.11</v>
      </c>
      <c r="F257" s="1">
        <v>44700</v>
      </c>
      <c r="G257">
        <v>0.75</v>
      </c>
      <c r="H257" t="s">
        <v>17</v>
      </c>
      <c r="I257" t="s">
        <v>291</v>
      </c>
    </row>
    <row r="258" spans="1:9" x14ac:dyDescent="0.3">
      <c r="A258" t="s">
        <v>47</v>
      </c>
      <c r="B258">
        <v>29095</v>
      </c>
      <c r="C258" t="s">
        <v>292</v>
      </c>
      <c r="D258" t="s">
        <v>31</v>
      </c>
      <c r="E258">
        <v>33706.01</v>
      </c>
      <c r="F258" s="1">
        <v>44214</v>
      </c>
      <c r="G258">
        <v>1</v>
      </c>
      <c r="H258" t="s">
        <v>17</v>
      </c>
      <c r="I258" t="s">
        <v>13</v>
      </c>
    </row>
    <row r="259" spans="1:9" x14ac:dyDescent="0.3">
      <c r="A259" t="s">
        <v>14</v>
      </c>
      <c r="B259">
        <v>65832</v>
      </c>
      <c r="C259" t="s">
        <v>293</v>
      </c>
      <c r="D259" t="s">
        <v>21</v>
      </c>
      <c r="E259">
        <v>85878.91</v>
      </c>
      <c r="F259" s="1">
        <v>42954</v>
      </c>
      <c r="G259">
        <v>0.5</v>
      </c>
      <c r="H259" t="s">
        <v>17</v>
      </c>
      <c r="I259" t="s">
        <v>60</v>
      </c>
    </row>
    <row r="260" spans="1:9" x14ac:dyDescent="0.3">
      <c r="A260" t="s">
        <v>33</v>
      </c>
      <c r="B260">
        <v>84188</v>
      </c>
      <c r="C260" t="s">
        <v>294</v>
      </c>
      <c r="D260" t="s">
        <v>37</v>
      </c>
      <c r="E260">
        <v>119971.66</v>
      </c>
      <c r="F260" s="1">
        <v>44345</v>
      </c>
      <c r="G260">
        <v>1</v>
      </c>
      <c r="H260" t="s">
        <v>17</v>
      </c>
      <c r="I260" t="s">
        <v>13</v>
      </c>
    </row>
    <row r="261" spans="1:9" x14ac:dyDescent="0.3">
      <c r="A261" t="s">
        <v>14</v>
      </c>
      <c r="B261">
        <v>65319</v>
      </c>
      <c r="C261" t="s">
        <v>295</v>
      </c>
      <c r="D261" t="s">
        <v>16</v>
      </c>
      <c r="E261">
        <v>108583.25</v>
      </c>
      <c r="F261" s="1">
        <v>44871</v>
      </c>
      <c r="G261">
        <v>1</v>
      </c>
      <c r="H261" t="s">
        <v>12</v>
      </c>
      <c r="I261" t="s">
        <v>76</v>
      </c>
    </row>
    <row r="262" spans="1:9" x14ac:dyDescent="0.3">
      <c r="A262" t="s">
        <v>19</v>
      </c>
      <c r="B262">
        <v>21014</v>
      </c>
      <c r="C262" t="s">
        <v>296</v>
      </c>
      <c r="D262" t="s">
        <v>16</v>
      </c>
      <c r="E262">
        <v>92971.72</v>
      </c>
      <c r="F262" s="1">
        <v>42982</v>
      </c>
      <c r="G262">
        <v>0.75</v>
      </c>
      <c r="H262" t="s">
        <v>17</v>
      </c>
      <c r="I262" t="s">
        <v>297</v>
      </c>
    </row>
    <row r="263" spans="1:9" x14ac:dyDescent="0.3">
      <c r="A263" t="s">
        <v>38</v>
      </c>
      <c r="B263">
        <v>23731</v>
      </c>
      <c r="C263" t="s">
        <v>298</v>
      </c>
      <c r="D263" t="s">
        <v>11</v>
      </c>
      <c r="E263">
        <v>95439</v>
      </c>
      <c r="F263" s="1">
        <v>42829</v>
      </c>
      <c r="G263">
        <v>1</v>
      </c>
      <c r="H263" t="s">
        <v>17</v>
      </c>
      <c r="I263" t="s">
        <v>13</v>
      </c>
    </row>
    <row r="264" spans="1:9" x14ac:dyDescent="0.3">
      <c r="A264" t="s">
        <v>90</v>
      </c>
      <c r="B264">
        <v>64478</v>
      </c>
      <c r="C264" t="s">
        <v>299</v>
      </c>
      <c r="D264" t="s">
        <v>21</v>
      </c>
      <c r="E264">
        <v>50401.83</v>
      </c>
      <c r="F264" s="1">
        <v>44217</v>
      </c>
      <c r="G264">
        <v>0.75</v>
      </c>
      <c r="H264" t="s">
        <v>12</v>
      </c>
      <c r="I264" t="s">
        <v>13</v>
      </c>
    </row>
    <row r="265" spans="1:9" x14ac:dyDescent="0.3">
      <c r="A265" t="s">
        <v>22</v>
      </c>
      <c r="B265">
        <v>18247</v>
      </c>
      <c r="C265" t="s">
        <v>300</v>
      </c>
      <c r="D265" t="s">
        <v>37</v>
      </c>
      <c r="E265">
        <v>97645.25</v>
      </c>
      <c r="F265" s="1">
        <v>42081</v>
      </c>
      <c r="G265">
        <v>0.5</v>
      </c>
      <c r="H265" t="s">
        <v>17</v>
      </c>
      <c r="I265" t="s">
        <v>13</v>
      </c>
    </row>
    <row r="266" spans="1:9" x14ac:dyDescent="0.3">
      <c r="A266" t="s">
        <v>22</v>
      </c>
      <c r="B266">
        <v>23003</v>
      </c>
      <c r="C266" t="s">
        <v>301</v>
      </c>
      <c r="D266" t="s">
        <v>24</v>
      </c>
      <c r="E266">
        <v>55913.17</v>
      </c>
      <c r="F266" s="1">
        <v>43895</v>
      </c>
      <c r="G266">
        <v>0.5</v>
      </c>
      <c r="H266" t="s">
        <v>17</v>
      </c>
      <c r="I266" t="s">
        <v>13</v>
      </c>
    </row>
    <row r="267" spans="1:9" x14ac:dyDescent="0.3">
      <c r="A267" t="s">
        <v>9</v>
      </c>
      <c r="B267">
        <v>64416</v>
      </c>
      <c r="C267" t="s">
        <v>302</v>
      </c>
      <c r="D267" t="s">
        <v>21</v>
      </c>
      <c r="E267">
        <v>39491.42</v>
      </c>
      <c r="F267" s="1">
        <v>45025</v>
      </c>
      <c r="G267">
        <v>1</v>
      </c>
      <c r="H267" t="s">
        <v>35</v>
      </c>
      <c r="I267" t="s">
        <v>13</v>
      </c>
    </row>
    <row r="268" spans="1:9" x14ac:dyDescent="0.3">
      <c r="A268" t="s">
        <v>9</v>
      </c>
      <c r="B268">
        <v>30467</v>
      </c>
      <c r="C268" t="s">
        <v>303</v>
      </c>
      <c r="D268" t="s">
        <v>24</v>
      </c>
      <c r="E268">
        <v>71480.539999999994</v>
      </c>
      <c r="F268" s="1">
        <v>42954</v>
      </c>
      <c r="G268">
        <v>0.5</v>
      </c>
      <c r="H268" t="s">
        <v>17</v>
      </c>
      <c r="I268" t="s">
        <v>13</v>
      </c>
    </row>
    <row r="269" spans="1:9" x14ac:dyDescent="0.3">
      <c r="A269" t="s">
        <v>33</v>
      </c>
      <c r="B269">
        <v>14024</v>
      </c>
      <c r="C269" t="s">
        <v>304</v>
      </c>
      <c r="D269" t="s">
        <v>24</v>
      </c>
      <c r="E269">
        <v>59717.62</v>
      </c>
      <c r="F269" s="1">
        <v>43827</v>
      </c>
      <c r="G269">
        <v>1</v>
      </c>
      <c r="H269" t="s">
        <v>17</v>
      </c>
      <c r="I269" t="s">
        <v>13</v>
      </c>
    </row>
    <row r="270" spans="1:9" x14ac:dyDescent="0.3">
      <c r="A270" t="s">
        <v>33</v>
      </c>
      <c r="B270">
        <v>68552</v>
      </c>
      <c r="C270" t="s">
        <v>305</v>
      </c>
      <c r="D270" t="s">
        <v>31</v>
      </c>
      <c r="E270">
        <v>45142.99</v>
      </c>
      <c r="F270" s="1">
        <v>42927</v>
      </c>
      <c r="G270">
        <v>0.5</v>
      </c>
      <c r="H270" t="s">
        <v>17</v>
      </c>
      <c r="I270" t="s">
        <v>13</v>
      </c>
    </row>
    <row r="271" spans="1:9" x14ac:dyDescent="0.3">
      <c r="A271" t="s">
        <v>14</v>
      </c>
      <c r="B271">
        <v>66503</v>
      </c>
      <c r="C271" t="s">
        <v>306</v>
      </c>
      <c r="D271" t="s">
        <v>24</v>
      </c>
      <c r="E271">
        <v>67953.89</v>
      </c>
      <c r="F271" s="1">
        <v>45015</v>
      </c>
      <c r="G271">
        <v>0.5</v>
      </c>
      <c r="H271" t="s">
        <v>12</v>
      </c>
      <c r="I271" t="s">
        <v>13</v>
      </c>
    </row>
    <row r="272" spans="1:9" x14ac:dyDescent="0.3">
      <c r="A272" t="s">
        <v>14</v>
      </c>
      <c r="B272">
        <v>99970</v>
      </c>
      <c r="C272" t="s">
        <v>307</v>
      </c>
      <c r="D272" t="s">
        <v>31</v>
      </c>
      <c r="E272">
        <v>110748.09</v>
      </c>
      <c r="F272" s="1">
        <v>45161</v>
      </c>
      <c r="G272">
        <v>1</v>
      </c>
      <c r="H272" t="s">
        <v>12</v>
      </c>
      <c r="I272" t="s">
        <v>13</v>
      </c>
    </row>
    <row r="273" spans="1:9" x14ac:dyDescent="0.3">
      <c r="A273" t="s">
        <v>25</v>
      </c>
      <c r="B273">
        <v>64659</v>
      </c>
      <c r="C273" t="s">
        <v>308</v>
      </c>
      <c r="D273" t="s">
        <v>11</v>
      </c>
      <c r="E273">
        <v>69174.320000000007</v>
      </c>
      <c r="F273" s="1">
        <v>45409</v>
      </c>
      <c r="G273">
        <v>0.75</v>
      </c>
      <c r="H273" t="s">
        <v>12</v>
      </c>
      <c r="I273" t="s">
        <v>13</v>
      </c>
    </row>
    <row r="274" spans="1:9" x14ac:dyDescent="0.3">
      <c r="A274" t="s">
        <v>47</v>
      </c>
      <c r="B274">
        <v>13949</v>
      </c>
      <c r="C274" t="s">
        <v>309</v>
      </c>
      <c r="D274" t="s">
        <v>24</v>
      </c>
      <c r="E274">
        <v>70256.27</v>
      </c>
      <c r="F274" s="1">
        <v>44486</v>
      </c>
      <c r="G274">
        <v>0.5</v>
      </c>
      <c r="H274" t="s">
        <v>17</v>
      </c>
      <c r="I274" t="s">
        <v>13</v>
      </c>
    </row>
    <row r="275" spans="1:9" x14ac:dyDescent="0.3">
      <c r="A275" t="s">
        <v>33</v>
      </c>
      <c r="B275">
        <v>75093</v>
      </c>
      <c r="C275" t="s">
        <v>310</v>
      </c>
      <c r="D275" t="s">
        <v>24</v>
      </c>
      <c r="E275">
        <v>93794.5</v>
      </c>
      <c r="F275" s="1">
        <v>42734</v>
      </c>
      <c r="G275">
        <v>0.75</v>
      </c>
      <c r="H275" t="s">
        <v>17</v>
      </c>
      <c r="I275" t="s">
        <v>206</v>
      </c>
    </row>
    <row r="276" spans="1:9" x14ac:dyDescent="0.3">
      <c r="A276" t="s">
        <v>9</v>
      </c>
      <c r="B276">
        <v>52532</v>
      </c>
      <c r="C276" t="s">
        <v>311</v>
      </c>
      <c r="D276" t="s">
        <v>31</v>
      </c>
      <c r="E276">
        <v>77174.570000000007</v>
      </c>
      <c r="F276" s="1">
        <v>44855</v>
      </c>
      <c r="G276">
        <v>1</v>
      </c>
      <c r="H276" t="s">
        <v>17</v>
      </c>
      <c r="I276" t="s">
        <v>312</v>
      </c>
    </row>
    <row r="277" spans="1:9" x14ac:dyDescent="0.3">
      <c r="A277" t="s">
        <v>47</v>
      </c>
      <c r="B277">
        <v>43106</v>
      </c>
      <c r="C277" t="s">
        <v>313</v>
      </c>
      <c r="D277" t="s">
        <v>11</v>
      </c>
      <c r="E277">
        <v>41630.07</v>
      </c>
      <c r="F277" s="1">
        <v>45335</v>
      </c>
      <c r="G277">
        <v>0.75</v>
      </c>
      <c r="H277" t="s">
        <v>12</v>
      </c>
      <c r="I277" t="s">
        <v>18</v>
      </c>
    </row>
    <row r="278" spans="1:9" x14ac:dyDescent="0.3">
      <c r="A278" t="s">
        <v>14</v>
      </c>
      <c r="B278">
        <v>20294</v>
      </c>
      <c r="C278" t="s">
        <v>314</v>
      </c>
      <c r="D278" t="s">
        <v>21</v>
      </c>
      <c r="E278">
        <v>111935.32</v>
      </c>
      <c r="F278" s="1">
        <v>43114</v>
      </c>
      <c r="G278">
        <v>1</v>
      </c>
      <c r="H278" t="s">
        <v>17</v>
      </c>
      <c r="I278" t="s">
        <v>144</v>
      </c>
    </row>
    <row r="279" spans="1:9" x14ac:dyDescent="0.3">
      <c r="A279" t="s">
        <v>14</v>
      </c>
      <c r="B279">
        <v>56203</v>
      </c>
      <c r="C279" t="s">
        <v>315</v>
      </c>
      <c r="D279" t="s">
        <v>16</v>
      </c>
      <c r="E279">
        <v>69971.19</v>
      </c>
      <c r="F279" s="1">
        <v>44531</v>
      </c>
      <c r="G279">
        <v>1</v>
      </c>
      <c r="H279" t="s">
        <v>17</v>
      </c>
      <c r="I279" t="s">
        <v>18</v>
      </c>
    </row>
    <row r="280" spans="1:9" x14ac:dyDescent="0.3">
      <c r="A280" t="s">
        <v>38</v>
      </c>
      <c r="B280">
        <v>19218</v>
      </c>
      <c r="C280" t="s">
        <v>316</v>
      </c>
      <c r="D280" t="s">
        <v>37</v>
      </c>
      <c r="E280">
        <v>101040.4</v>
      </c>
      <c r="F280" s="1">
        <v>41993</v>
      </c>
      <c r="G280">
        <v>1</v>
      </c>
      <c r="H280" t="s">
        <v>17</v>
      </c>
      <c r="I280" t="s">
        <v>144</v>
      </c>
    </row>
    <row r="281" spans="1:9" x14ac:dyDescent="0.3">
      <c r="A281" t="s">
        <v>25</v>
      </c>
      <c r="B281">
        <v>25909</v>
      </c>
      <c r="C281" t="s">
        <v>317</v>
      </c>
      <c r="D281" t="s">
        <v>24</v>
      </c>
      <c r="E281">
        <v>64998.76</v>
      </c>
      <c r="F281" s="1">
        <v>43298</v>
      </c>
      <c r="G281">
        <v>0.5</v>
      </c>
      <c r="H281" t="s">
        <v>17</v>
      </c>
      <c r="I281" t="s">
        <v>312</v>
      </c>
    </row>
    <row r="282" spans="1:9" x14ac:dyDescent="0.3">
      <c r="A282" t="s">
        <v>22</v>
      </c>
      <c r="B282">
        <v>57088</v>
      </c>
      <c r="C282" t="s">
        <v>318</v>
      </c>
      <c r="D282" t="s">
        <v>24</v>
      </c>
      <c r="E282">
        <v>102616.14</v>
      </c>
      <c r="F282" s="1">
        <v>44819</v>
      </c>
      <c r="G282">
        <v>1</v>
      </c>
      <c r="H282" t="s">
        <v>12</v>
      </c>
      <c r="I282" t="s">
        <v>76</v>
      </c>
    </row>
    <row r="283" spans="1:9" x14ac:dyDescent="0.3">
      <c r="A283" t="s">
        <v>27</v>
      </c>
      <c r="B283">
        <v>13850</v>
      </c>
      <c r="C283" t="s">
        <v>319</v>
      </c>
      <c r="D283" t="s">
        <v>21</v>
      </c>
      <c r="E283">
        <v>65058.28</v>
      </c>
      <c r="F283" s="1">
        <v>43763</v>
      </c>
      <c r="G283">
        <v>0.75</v>
      </c>
      <c r="H283" t="s">
        <v>17</v>
      </c>
      <c r="I283" t="s">
        <v>144</v>
      </c>
    </row>
    <row r="284" spans="1:9" x14ac:dyDescent="0.3">
      <c r="A284" t="s">
        <v>47</v>
      </c>
      <c r="B284">
        <v>55278</v>
      </c>
      <c r="C284" t="s">
        <v>320</v>
      </c>
      <c r="D284" t="s">
        <v>21</v>
      </c>
      <c r="E284">
        <v>49814.36</v>
      </c>
      <c r="F284" s="1">
        <v>45242</v>
      </c>
      <c r="G284">
        <v>1</v>
      </c>
      <c r="H284" t="s">
        <v>12</v>
      </c>
      <c r="I284" t="s">
        <v>144</v>
      </c>
    </row>
    <row r="285" spans="1:9" x14ac:dyDescent="0.3">
      <c r="A285" t="s">
        <v>14</v>
      </c>
      <c r="B285">
        <v>55597</v>
      </c>
      <c r="C285" t="s">
        <v>321</v>
      </c>
      <c r="D285" t="s">
        <v>21</v>
      </c>
      <c r="E285">
        <v>47657.52</v>
      </c>
      <c r="F285" s="1">
        <v>43009</v>
      </c>
      <c r="G285">
        <v>0.75</v>
      </c>
      <c r="H285" t="s">
        <v>17</v>
      </c>
      <c r="I285" t="s">
        <v>18</v>
      </c>
    </row>
    <row r="286" spans="1:9" x14ac:dyDescent="0.3">
      <c r="A286" t="s">
        <v>47</v>
      </c>
      <c r="B286">
        <v>33318</v>
      </c>
      <c r="C286" t="s">
        <v>322</v>
      </c>
      <c r="D286" t="s">
        <v>24</v>
      </c>
      <c r="E286">
        <v>114603.12</v>
      </c>
      <c r="F286" s="1">
        <v>41792</v>
      </c>
      <c r="G286">
        <v>1</v>
      </c>
      <c r="H286" t="s">
        <v>17</v>
      </c>
      <c r="I286" t="s">
        <v>144</v>
      </c>
    </row>
    <row r="287" spans="1:9" x14ac:dyDescent="0.3">
      <c r="A287" t="s">
        <v>38</v>
      </c>
      <c r="B287">
        <v>11306</v>
      </c>
      <c r="C287" t="s">
        <v>323</v>
      </c>
      <c r="D287" t="s">
        <v>24</v>
      </c>
      <c r="E287">
        <v>82787.72</v>
      </c>
      <c r="F287" s="1">
        <v>42059</v>
      </c>
      <c r="G287">
        <v>0.75</v>
      </c>
      <c r="H287" t="s">
        <v>17</v>
      </c>
      <c r="I287" t="s">
        <v>13</v>
      </c>
    </row>
    <row r="288" spans="1:9" x14ac:dyDescent="0.3">
      <c r="A288" t="s">
        <v>25</v>
      </c>
      <c r="B288">
        <v>40211</v>
      </c>
      <c r="C288" t="s">
        <v>324</v>
      </c>
      <c r="D288" t="s">
        <v>16</v>
      </c>
      <c r="E288">
        <v>34481.39</v>
      </c>
      <c r="F288" s="1">
        <v>42175</v>
      </c>
      <c r="G288">
        <v>1</v>
      </c>
      <c r="H288" t="s">
        <v>17</v>
      </c>
      <c r="I288" t="s">
        <v>13</v>
      </c>
    </row>
    <row r="289" spans="1:9" x14ac:dyDescent="0.3">
      <c r="A289" t="s">
        <v>27</v>
      </c>
      <c r="B289">
        <v>57946</v>
      </c>
      <c r="C289" t="s">
        <v>325</v>
      </c>
      <c r="D289" t="s">
        <v>31</v>
      </c>
      <c r="E289">
        <v>64951.28</v>
      </c>
      <c r="F289" s="1">
        <v>42622</v>
      </c>
      <c r="G289">
        <v>0.5</v>
      </c>
      <c r="H289" t="s">
        <v>17</v>
      </c>
      <c r="I289" t="s">
        <v>13</v>
      </c>
    </row>
    <row r="290" spans="1:9" x14ac:dyDescent="0.3">
      <c r="A290" t="s">
        <v>9</v>
      </c>
      <c r="B290">
        <v>19242</v>
      </c>
      <c r="C290" t="s">
        <v>326</v>
      </c>
      <c r="D290" t="s">
        <v>11</v>
      </c>
      <c r="E290">
        <v>51062.63</v>
      </c>
      <c r="F290" s="1">
        <v>43298</v>
      </c>
      <c r="G290">
        <v>0.75</v>
      </c>
      <c r="H290" t="s">
        <v>17</v>
      </c>
      <c r="I290" t="s">
        <v>13</v>
      </c>
    </row>
    <row r="291" spans="1:9" x14ac:dyDescent="0.3">
      <c r="A291" t="s">
        <v>33</v>
      </c>
      <c r="B291">
        <v>88196</v>
      </c>
      <c r="C291" t="s">
        <v>327</v>
      </c>
      <c r="D291" t="s">
        <v>31</v>
      </c>
      <c r="E291">
        <v>37619.14</v>
      </c>
      <c r="F291" s="1">
        <v>44543</v>
      </c>
      <c r="G291">
        <v>1</v>
      </c>
      <c r="H291" t="s">
        <v>17</v>
      </c>
      <c r="I291" t="s">
        <v>13</v>
      </c>
    </row>
    <row r="292" spans="1:9" x14ac:dyDescent="0.3">
      <c r="A292" t="s">
        <v>47</v>
      </c>
      <c r="B292">
        <v>28781</v>
      </c>
      <c r="C292" t="s">
        <v>328</v>
      </c>
      <c r="D292" t="s">
        <v>11</v>
      </c>
      <c r="E292">
        <v>46808.03</v>
      </c>
      <c r="F292" s="1">
        <v>43180</v>
      </c>
      <c r="G292">
        <v>0.75</v>
      </c>
      <c r="H292" t="s">
        <v>17</v>
      </c>
      <c r="I292" t="s">
        <v>13</v>
      </c>
    </row>
    <row r="293" spans="1:9" x14ac:dyDescent="0.3">
      <c r="A293" t="s">
        <v>47</v>
      </c>
      <c r="B293">
        <v>37260</v>
      </c>
      <c r="C293" t="s">
        <v>329</v>
      </c>
      <c r="D293" t="s">
        <v>16</v>
      </c>
      <c r="E293">
        <v>35129.14</v>
      </c>
      <c r="F293" s="1">
        <v>42466</v>
      </c>
      <c r="G293">
        <v>0.5</v>
      </c>
      <c r="H293" t="s">
        <v>17</v>
      </c>
      <c r="I293" t="s">
        <v>13</v>
      </c>
    </row>
    <row r="294" spans="1:9" x14ac:dyDescent="0.3">
      <c r="A294" t="s">
        <v>19</v>
      </c>
      <c r="B294">
        <v>10423</v>
      </c>
      <c r="C294" t="s">
        <v>330</v>
      </c>
      <c r="D294" t="s">
        <v>37</v>
      </c>
      <c r="E294">
        <v>87426.63</v>
      </c>
      <c r="F294" s="1">
        <v>44993</v>
      </c>
      <c r="G294">
        <v>0.75</v>
      </c>
      <c r="H294" t="s">
        <v>12</v>
      </c>
      <c r="I294" t="s">
        <v>13</v>
      </c>
    </row>
    <row r="295" spans="1:9" x14ac:dyDescent="0.3">
      <c r="A295" t="s">
        <v>38</v>
      </c>
      <c r="B295">
        <v>36842</v>
      </c>
      <c r="C295" t="s">
        <v>331</v>
      </c>
      <c r="D295" t="s">
        <v>24</v>
      </c>
      <c r="E295">
        <v>45603.65</v>
      </c>
      <c r="F295" s="1">
        <v>44433</v>
      </c>
      <c r="G295">
        <v>1</v>
      </c>
      <c r="H295" t="s">
        <v>17</v>
      </c>
      <c r="I295" t="s">
        <v>13</v>
      </c>
    </row>
    <row r="296" spans="1:9" x14ac:dyDescent="0.3">
      <c r="A296" t="s">
        <v>22</v>
      </c>
      <c r="B296">
        <v>96378</v>
      </c>
      <c r="C296" t="s">
        <v>332</v>
      </c>
      <c r="D296" t="s">
        <v>24</v>
      </c>
      <c r="E296">
        <v>84970.19</v>
      </c>
      <c r="F296" s="1">
        <v>43568</v>
      </c>
      <c r="G296">
        <v>1</v>
      </c>
      <c r="H296" t="s">
        <v>17</v>
      </c>
      <c r="I296" t="s">
        <v>13</v>
      </c>
    </row>
    <row r="297" spans="1:9" x14ac:dyDescent="0.3">
      <c r="A297" t="s">
        <v>27</v>
      </c>
      <c r="B297">
        <v>98310</v>
      </c>
      <c r="C297" t="s">
        <v>333</v>
      </c>
      <c r="D297" t="s">
        <v>37</v>
      </c>
      <c r="E297">
        <v>85125.61</v>
      </c>
      <c r="F297" s="1">
        <v>43890</v>
      </c>
      <c r="G297">
        <v>0.5</v>
      </c>
      <c r="H297" t="s">
        <v>17</v>
      </c>
      <c r="I297" t="s">
        <v>13</v>
      </c>
    </row>
    <row r="298" spans="1:9" x14ac:dyDescent="0.3">
      <c r="A298" t="s">
        <v>9</v>
      </c>
      <c r="B298">
        <v>26146</v>
      </c>
      <c r="C298" t="s">
        <v>334</v>
      </c>
      <c r="D298" t="s">
        <v>37</v>
      </c>
      <c r="E298">
        <v>93443.13</v>
      </c>
      <c r="F298" s="1">
        <v>44855</v>
      </c>
      <c r="G298">
        <v>1</v>
      </c>
      <c r="H298" t="s">
        <v>17</v>
      </c>
      <c r="I298" t="s">
        <v>13</v>
      </c>
    </row>
    <row r="299" spans="1:9" x14ac:dyDescent="0.3">
      <c r="A299" t="s">
        <v>14</v>
      </c>
      <c r="B299">
        <v>10941</v>
      </c>
      <c r="C299" t="s">
        <v>335</v>
      </c>
      <c r="D299" t="s">
        <v>31</v>
      </c>
      <c r="E299">
        <v>76090.679999999993</v>
      </c>
      <c r="F299" s="1">
        <v>42982</v>
      </c>
      <c r="G299">
        <v>0.75</v>
      </c>
      <c r="H299" t="s">
        <v>17</v>
      </c>
      <c r="I299" t="s">
        <v>13</v>
      </c>
    </row>
    <row r="300" spans="1:9" x14ac:dyDescent="0.3">
      <c r="A300" t="s">
        <v>25</v>
      </c>
      <c r="B300">
        <v>48438</v>
      </c>
      <c r="C300" t="s">
        <v>336</v>
      </c>
      <c r="D300" t="s">
        <v>21</v>
      </c>
      <c r="E300">
        <v>55598.16</v>
      </c>
      <c r="F300" s="1">
        <v>42803</v>
      </c>
      <c r="G300">
        <v>0.75</v>
      </c>
      <c r="H300" t="s">
        <v>17</v>
      </c>
      <c r="I300" t="s">
        <v>13</v>
      </c>
    </row>
    <row r="301" spans="1:9" x14ac:dyDescent="0.3">
      <c r="A301" t="s">
        <v>27</v>
      </c>
      <c r="B301">
        <v>58382</v>
      </c>
      <c r="C301" t="s">
        <v>337</v>
      </c>
      <c r="D301" t="s">
        <v>37</v>
      </c>
      <c r="E301">
        <v>108971.17</v>
      </c>
      <c r="F301" s="1">
        <v>44104</v>
      </c>
      <c r="G301">
        <v>1</v>
      </c>
      <c r="H301" t="s">
        <v>17</v>
      </c>
      <c r="I301" t="s">
        <v>13</v>
      </c>
    </row>
    <row r="302" spans="1:9" x14ac:dyDescent="0.3">
      <c r="A302" t="s">
        <v>9</v>
      </c>
      <c r="B302">
        <v>99001</v>
      </c>
      <c r="C302" t="s">
        <v>338</v>
      </c>
      <c r="D302" t="s">
        <v>24</v>
      </c>
      <c r="E302">
        <v>56423.87</v>
      </c>
      <c r="F302" s="1">
        <v>45295</v>
      </c>
      <c r="G302">
        <v>0.75</v>
      </c>
      <c r="H302" t="s">
        <v>17</v>
      </c>
      <c r="I302" t="s">
        <v>13</v>
      </c>
    </row>
    <row r="303" spans="1:9" x14ac:dyDescent="0.3">
      <c r="A303" t="s">
        <v>14</v>
      </c>
      <c r="B303">
        <v>99002</v>
      </c>
      <c r="C303" t="s">
        <v>339</v>
      </c>
      <c r="D303" t="s">
        <v>16</v>
      </c>
      <c r="E303">
        <v>61234.76</v>
      </c>
      <c r="F303" s="1">
        <v>45306</v>
      </c>
      <c r="G303">
        <v>1</v>
      </c>
      <c r="H303" t="s">
        <v>12</v>
      </c>
      <c r="I303" t="s">
        <v>13</v>
      </c>
    </row>
    <row r="304" spans="1:9" x14ac:dyDescent="0.3">
      <c r="A304" t="s">
        <v>19</v>
      </c>
      <c r="B304">
        <v>99003</v>
      </c>
      <c r="C304" t="s">
        <v>340</v>
      </c>
      <c r="D304" t="s">
        <v>21</v>
      </c>
      <c r="E304">
        <v>78345.22</v>
      </c>
      <c r="F304" s="1">
        <v>45325</v>
      </c>
      <c r="G304">
        <v>0.5</v>
      </c>
      <c r="H304" t="s">
        <v>35</v>
      </c>
      <c r="I304" t="s">
        <v>13</v>
      </c>
    </row>
    <row r="305" spans="1:9" x14ac:dyDescent="0.3">
      <c r="A305" t="s">
        <v>22</v>
      </c>
      <c r="B305">
        <v>99004</v>
      </c>
      <c r="C305" t="s">
        <v>341</v>
      </c>
      <c r="D305" t="s">
        <v>31</v>
      </c>
      <c r="E305">
        <v>70234.559999999998</v>
      </c>
      <c r="F305" s="1">
        <v>45347</v>
      </c>
      <c r="G305">
        <v>1</v>
      </c>
      <c r="H305" t="s">
        <v>17</v>
      </c>
      <c r="I305" t="s">
        <v>13</v>
      </c>
    </row>
    <row r="306" spans="1:9" x14ac:dyDescent="0.3">
      <c r="A306" t="s">
        <v>25</v>
      </c>
      <c r="B306">
        <v>99005</v>
      </c>
      <c r="C306" t="s">
        <v>342</v>
      </c>
      <c r="D306" t="s">
        <v>37</v>
      </c>
      <c r="E306">
        <v>83567.89</v>
      </c>
      <c r="F306" s="1">
        <v>45352</v>
      </c>
      <c r="G306">
        <v>0.75</v>
      </c>
      <c r="H306" t="s">
        <v>17</v>
      </c>
      <c r="I306" t="s">
        <v>13</v>
      </c>
    </row>
    <row r="307" spans="1:9" x14ac:dyDescent="0.3">
      <c r="A307" t="s">
        <v>27</v>
      </c>
      <c r="B307">
        <v>99006</v>
      </c>
      <c r="C307" t="s">
        <v>343</v>
      </c>
      <c r="D307" t="s">
        <v>11</v>
      </c>
      <c r="E307">
        <v>90345.12</v>
      </c>
      <c r="F307" s="1">
        <v>45363</v>
      </c>
      <c r="G307">
        <v>1</v>
      </c>
      <c r="H307" t="s">
        <v>12</v>
      </c>
      <c r="I307" t="s">
        <v>13</v>
      </c>
    </row>
    <row r="308" spans="1:9" x14ac:dyDescent="0.3">
      <c r="A308" t="s">
        <v>33</v>
      </c>
      <c r="B308">
        <v>99007</v>
      </c>
      <c r="C308" t="s">
        <v>344</v>
      </c>
      <c r="D308" t="s">
        <v>24</v>
      </c>
      <c r="E308">
        <v>72345.78</v>
      </c>
      <c r="F308" s="1">
        <v>45386</v>
      </c>
      <c r="G308">
        <v>0.75</v>
      </c>
      <c r="H308" t="s">
        <v>17</v>
      </c>
      <c r="I308" t="s">
        <v>13</v>
      </c>
    </row>
    <row r="309" spans="1:9" x14ac:dyDescent="0.3">
      <c r="A309" t="s">
        <v>47</v>
      </c>
      <c r="B309">
        <v>99008</v>
      </c>
      <c r="C309" t="s">
        <v>345</v>
      </c>
      <c r="D309" t="s">
        <v>21</v>
      </c>
      <c r="E309">
        <v>62345.34</v>
      </c>
      <c r="F309" s="1">
        <v>45397</v>
      </c>
      <c r="G309">
        <v>1</v>
      </c>
      <c r="H309" t="s">
        <v>35</v>
      </c>
      <c r="I309" t="s">
        <v>13</v>
      </c>
    </row>
    <row r="310" spans="1:9" x14ac:dyDescent="0.3">
      <c r="A310" t="s">
        <v>90</v>
      </c>
      <c r="B310">
        <v>99009</v>
      </c>
      <c r="C310" t="s">
        <v>346</v>
      </c>
      <c r="D310" t="s">
        <v>16</v>
      </c>
      <c r="E310">
        <v>71234.45</v>
      </c>
      <c r="F310" s="1">
        <v>45410</v>
      </c>
      <c r="G310">
        <v>0.5</v>
      </c>
      <c r="H310" t="s">
        <v>12</v>
      </c>
      <c r="I310" t="s">
        <v>13</v>
      </c>
    </row>
    <row r="311" spans="1:9" x14ac:dyDescent="0.3">
      <c r="A311" t="s">
        <v>9</v>
      </c>
      <c r="B311">
        <v>99010</v>
      </c>
      <c r="C311" t="s">
        <v>347</v>
      </c>
      <c r="D311" t="s">
        <v>37</v>
      </c>
      <c r="E311">
        <v>91234.559999999998</v>
      </c>
      <c r="F311" s="1">
        <v>45413</v>
      </c>
      <c r="G311">
        <v>0.75</v>
      </c>
      <c r="H311" t="s">
        <v>17</v>
      </c>
      <c r="I311" t="s">
        <v>13</v>
      </c>
    </row>
    <row r="312" spans="1:9" x14ac:dyDescent="0.3">
      <c r="A312" t="s">
        <v>19</v>
      </c>
      <c r="B312">
        <v>99011</v>
      </c>
      <c r="C312" t="s">
        <v>348</v>
      </c>
      <c r="D312" t="s">
        <v>31</v>
      </c>
      <c r="E312">
        <v>80345.67</v>
      </c>
      <c r="F312" s="1">
        <v>45426</v>
      </c>
      <c r="G312">
        <v>1</v>
      </c>
      <c r="H312" t="s">
        <v>12</v>
      </c>
      <c r="I312" t="s">
        <v>13</v>
      </c>
    </row>
    <row r="313" spans="1:9" x14ac:dyDescent="0.3">
      <c r="A313" t="s">
        <v>22</v>
      </c>
      <c r="B313">
        <v>99012</v>
      </c>
      <c r="C313" t="s">
        <v>349</v>
      </c>
      <c r="D313" t="s">
        <v>11</v>
      </c>
      <c r="E313">
        <v>75345.119999999995</v>
      </c>
      <c r="F313" s="1">
        <v>45440</v>
      </c>
      <c r="G313">
        <v>0.5</v>
      </c>
      <c r="H313" t="s">
        <v>17</v>
      </c>
      <c r="I313" t="s">
        <v>13</v>
      </c>
    </row>
    <row r="314" spans="1:9" x14ac:dyDescent="0.3">
      <c r="A314" t="s">
        <v>38</v>
      </c>
      <c r="B314">
        <v>99013</v>
      </c>
      <c r="C314" t="s">
        <v>350</v>
      </c>
      <c r="D314" t="s">
        <v>24</v>
      </c>
      <c r="E314">
        <v>84356.78</v>
      </c>
      <c r="F314" s="1">
        <v>45445</v>
      </c>
      <c r="G314">
        <v>1</v>
      </c>
      <c r="H314" t="s">
        <v>35</v>
      </c>
      <c r="I314" t="s">
        <v>13</v>
      </c>
    </row>
    <row r="315" spans="1:9" x14ac:dyDescent="0.3">
      <c r="A315" t="s">
        <v>33</v>
      </c>
      <c r="B315">
        <v>99014</v>
      </c>
      <c r="C315" t="s">
        <v>351</v>
      </c>
      <c r="D315" t="s">
        <v>16</v>
      </c>
      <c r="E315">
        <v>93234.559999999998</v>
      </c>
      <c r="F315" s="1">
        <v>45458</v>
      </c>
      <c r="G315">
        <v>0.75</v>
      </c>
      <c r="H315" t="s">
        <v>12</v>
      </c>
      <c r="I315" t="s">
        <v>13</v>
      </c>
    </row>
    <row r="316" spans="1:9" x14ac:dyDescent="0.3">
      <c r="A316" t="s">
        <v>14</v>
      </c>
      <c r="B316">
        <v>99015</v>
      </c>
      <c r="C316" t="s">
        <v>352</v>
      </c>
      <c r="D316" t="s">
        <v>37</v>
      </c>
      <c r="E316">
        <v>51234.67</v>
      </c>
      <c r="F316" s="1">
        <v>45471</v>
      </c>
      <c r="G316">
        <v>0.5</v>
      </c>
      <c r="H316" t="s">
        <v>17</v>
      </c>
      <c r="I316" t="s">
        <v>13</v>
      </c>
    </row>
    <row r="317" spans="1:9" x14ac:dyDescent="0.3">
      <c r="A317" t="s">
        <v>27</v>
      </c>
      <c r="B317">
        <v>99016</v>
      </c>
      <c r="C317" t="s">
        <v>353</v>
      </c>
      <c r="D317" t="s">
        <v>21</v>
      </c>
      <c r="E317">
        <v>65234.559999999998</v>
      </c>
      <c r="F317" s="1">
        <v>45474</v>
      </c>
      <c r="G317">
        <v>1</v>
      </c>
      <c r="H317" t="s">
        <v>17</v>
      </c>
      <c r="I317" t="s">
        <v>13</v>
      </c>
    </row>
    <row r="318" spans="1:9" x14ac:dyDescent="0.3">
      <c r="A318" t="s">
        <v>22</v>
      </c>
      <c r="B318">
        <v>99017</v>
      </c>
      <c r="C318" t="s">
        <v>354</v>
      </c>
      <c r="D318" t="s">
        <v>24</v>
      </c>
      <c r="E318">
        <v>75234.12</v>
      </c>
      <c r="F318" s="1">
        <v>45487</v>
      </c>
      <c r="G318">
        <v>0.75</v>
      </c>
      <c r="H318" t="s">
        <v>12</v>
      </c>
      <c r="I318" t="s">
        <v>60</v>
      </c>
    </row>
    <row r="319" spans="1:9" x14ac:dyDescent="0.3">
      <c r="A319" t="s">
        <v>47</v>
      </c>
      <c r="B319">
        <v>99018</v>
      </c>
      <c r="C319" t="s">
        <v>355</v>
      </c>
      <c r="D319" t="s">
        <v>11</v>
      </c>
      <c r="E319">
        <v>89234.45</v>
      </c>
      <c r="F319" s="1">
        <v>45498</v>
      </c>
      <c r="G319">
        <v>0.75</v>
      </c>
      <c r="H319" t="s">
        <v>35</v>
      </c>
      <c r="I319" t="s">
        <v>18</v>
      </c>
    </row>
    <row r="320" spans="1:9" x14ac:dyDescent="0.3">
      <c r="A320" t="s">
        <v>25</v>
      </c>
      <c r="B320">
        <v>99019</v>
      </c>
      <c r="C320" t="s">
        <v>356</v>
      </c>
      <c r="D320" t="s">
        <v>31</v>
      </c>
      <c r="E320">
        <v>60345.67</v>
      </c>
      <c r="F320" s="1">
        <v>45507</v>
      </c>
      <c r="G320">
        <v>1</v>
      </c>
      <c r="H320" t="s">
        <v>17</v>
      </c>
      <c r="I320" t="s">
        <v>18</v>
      </c>
    </row>
    <row r="321" spans="1:9" x14ac:dyDescent="0.3">
      <c r="A321" t="s">
        <v>27</v>
      </c>
      <c r="B321">
        <v>99020</v>
      </c>
      <c r="C321" t="s">
        <v>357</v>
      </c>
      <c r="D321" t="s">
        <v>37</v>
      </c>
      <c r="E321">
        <v>70234.89</v>
      </c>
      <c r="F321" s="1">
        <v>45519</v>
      </c>
      <c r="G321">
        <v>1</v>
      </c>
      <c r="H321" t="s">
        <v>12</v>
      </c>
      <c r="I321" t="s">
        <v>13</v>
      </c>
    </row>
    <row r="322" spans="1:9" x14ac:dyDescent="0.3">
      <c r="A322" t="s">
        <v>27</v>
      </c>
      <c r="B322">
        <v>99021</v>
      </c>
      <c r="C322" t="s">
        <v>387</v>
      </c>
      <c r="D322" t="s">
        <v>37</v>
      </c>
      <c r="E322">
        <v>150000</v>
      </c>
      <c r="F322" s="1">
        <v>45520</v>
      </c>
      <c r="G322">
        <v>2</v>
      </c>
      <c r="H322" t="s">
        <v>12</v>
      </c>
      <c r="I322" t="s">
        <v>388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87A77-4E6E-4244-9926-8DE5764616F8}">
  <dimension ref="A1:M23"/>
  <sheetViews>
    <sheetView tabSelected="1" workbookViewId="0">
      <selection activeCell="A18" sqref="A18"/>
    </sheetView>
  </sheetViews>
  <sheetFormatPr defaultRowHeight="15.6" x14ac:dyDescent="0.3"/>
  <cols>
    <col min="1" max="1" width="4.09765625" customWidth="1"/>
    <col min="2" max="2" width="32.69921875" customWidth="1"/>
    <col min="4" max="4" width="12.19921875" bestFit="1" customWidth="1"/>
    <col min="5" max="5" width="10.09765625" bestFit="1" customWidth="1"/>
    <col min="6" max="6" width="13.19921875" bestFit="1" customWidth="1"/>
    <col min="7" max="8" width="12.3984375" bestFit="1" customWidth="1"/>
    <col min="9" max="9" width="12.796875" bestFit="1" customWidth="1"/>
    <col min="10" max="10" width="10.09765625" bestFit="1" customWidth="1"/>
    <col min="11" max="11" width="12.796875" bestFit="1" customWidth="1"/>
    <col min="12" max="12" width="12.19921875" bestFit="1" customWidth="1"/>
    <col min="13" max="13" width="10.09765625" bestFit="1" customWidth="1"/>
  </cols>
  <sheetData>
    <row r="1" spans="1:13" x14ac:dyDescent="0.3">
      <c r="A1" s="2" t="s">
        <v>358</v>
      </c>
      <c r="B1" s="3"/>
      <c r="C1" s="3"/>
      <c r="D1" s="3"/>
      <c r="E1" s="3"/>
      <c r="F1" s="3"/>
      <c r="G1" s="3"/>
    </row>
    <row r="3" spans="1:13" x14ac:dyDescent="0.3">
      <c r="B3" s="2" t="s">
        <v>359</v>
      </c>
      <c r="D3" t="s">
        <v>368</v>
      </c>
      <c r="I3" t="str">
        <f>B8</f>
        <v>Headcount by department</v>
      </c>
      <c r="L3" t="str">
        <f>B9</f>
        <v>Headcount by Employment type</v>
      </c>
    </row>
    <row r="4" spans="1:13" x14ac:dyDescent="0.3">
      <c r="A4" s="4"/>
      <c r="B4" t="s">
        <v>360</v>
      </c>
    </row>
    <row r="5" spans="1:13" x14ac:dyDescent="0.3">
      <c r="A5" s="4"/>
      <c r="B5" t="s">
        <v>361</v>
      </c>
      <c r="D5" t="s">
        <v>369</v>
      </c>
      <c r="E5" t="s">
        <v>370</v>
      </c>
      <c r="F5" t="s">
        <v>362</v>
      </c>
      <c r="G5" t="s">
        <v>371</v>
      </c>
      <c r="I5" s="7" t="s">
        <v>372</v>
      </c>
      <c r="J5" t="s">
        <v>369</v>
      </c>
      <c r="L5" s="7" t="s">
        <v>372</v>
      </c>
      <c r="M5" t="s">
        <v>369</v>
      </c>
    </row>
    <row r="6" spans="1:13" x14ac:dyDescent="0.3">
      <c r="A6" s="4"/>
      <c r="B6" t="s">
        <v>362</v>
      </c>
      <c r="D6">
        <v>321</v>
      </c>
      <c r="E6">
        <v>261.75</v>
      </c>
      <c r="F6" s="6">
        <v>73618.742803738394</v>
      </c>
      <c r="G6" s="6">
        <v>150000</v>
      </c>
      <c r="I6" s="8" t="s">
        <v>374</v>
      </c>
      <c r="J6">
        <v>48</v>
      </c>
      <c r="L6" s="8" t="s">
        <v>17</v>
      </c>
      <c r="M6">
        <v>236</v>
      </c>
    </row>
    <row r="7" spans="1:13" x14ac:dyDescent="0.3">
      <c r="A7" s="4"/>
      <c r="B7" t="s">
        <v>363</v>
      </c>
      <c r="I7" s="8" t="s">
        <v>375</v>
      </c>
      <c r="J7">
        <v>62</v>
      </c>
      <c r="L7" s="8" t="s">
        <v>12</v>
      </c>
      <c r="M7">
        <v>72</v>
      </c>
    </row>
    <row r="8" spans="1:13" x14ac:dyDescent="0.3">
      <c r="A8" s="4"/>
      <c r="B8" t="s">
        <v>364</v>
      </c>
      <c r="I8" s="8" t="s">
        <v>376</v>
      </c>
      <c r="J8">
        <v>56</v>
      </c>
      <c r="L8" s="8" t="s">
        <v>35</v>
      </c>
      <c r="M8">
        <v>13</v>
      </c>
    </row>
    <row r="9" spans="1:13" x14ac:dyDescent="0.3">
      <c r="A9" s="4"/>
      <c r="B9" t="s">
        <v>365</v>
      </c>
      <c r="I9" s="8" t="s">
        <v>377</v>
      </c>
      <c r="J9">
        <v>51</v>
      </c>
      <c r="L9" s="8" t="s">
        <v>373</v>
      </c>
      <c r="M9">
        <v>321</v>
      </c>
    </row>
    <row r="10" spans="1:13" x14ac:dyDescent="0.3">
      <c r="A10" s="4"/>
      <c r="B10" t="s">
        <v>366</v>
      </c>
      <c r="I10" s="8" t="s">
        <v>378</v>
      </c>
      <c r="J10">
        <v>50</v>
      </c>
    </row>
    <row r="11" spans="1:13" x14ac:dyDescent="0.3">
      <c r="A11" s="4"/>
      <c r="B11" t="s">
        <v>367</v>
      </c>
      <c r="I11" s="8" t="s">
        <v>379</v>
      </c>
      <c r="J11">
        <v>54</v>
      </c>
    </row>
    <row r="12" spans="1:13" x14ac:dyDescent="0.3">
      <c r="I12" s="8" t="s">
        <v>373</v>
      </c>
      <c r="J12">
        <v>321</v>
      </c>
    </row>
    <row r="13" spans="1:13" ht="16.2" thickBot="1" x14ac:dyDescent="0.35">
      <c r="B13" s="9"/>
    </row>
    <row r="14" spans="1:13" ht="16.8" thickTop="1" thickBot="1" x14ac:dyDescent="0.35">
      <c r="A14" s="10"/>
      <c r="B14" s="5"/>
      <c r="D14" t="str">
        <f>B10</f>
        <v>Top 10 earners by department</v>
      </c>
    </row>
    <row r="15" spans="1:13" ht="16.8" thickTop="1" thickBot="1" x14ac:dyDescent="0.35">
      <c r="A15" s="10"/>
      <c r="B15" s="5"/>
    </row>
    <row r="16" spans="1:13" ht="16.8" thickTop="1" thickBot="1" x14ac:dyDescent="0.35">
      <c r="A16" s="10"/>
      <c r="B16" s="5"/>
      <c r="D16" t="str">
        <f>B11</f>
        <v>Employees by department and location</v>
      </c>
    </row>
    <row r="17" spans="1:11" ht="16.8" thickTop="1" thickBot="1" x14ac:dyDescent="0.35">
      <c r="A17" s="10"/>
      <c r="B17" s="5"/>
    </row>
    <row r="18" spans="1:11" ht="16.8" thickTop="1" thickBot="1" x14ac:dyDescent="0.35">
      <c r="A18" s="10"/>
      <c r="B18" s="5"/>
      <c r="D18" s="7" t="s">
        <v>372</v>
      </c>
      <c r="E18" t="s">
        <v>369</v>
      </c>
      <c r="G18" t="str" cm="1">
        <f t="array" ref="G18:H23">_xlfn._xlws.FILTER(D18:E32,D18:D32&lt;&gt;"")</f>
        <v>Row Labels</v>
      </c>
      <c r="H18" t="str">
        <v>Headcount</v>
      </c>
      <c r="K18" t="s">
        <v>386</v>
      </c>
    </row>
    <row r="19" spans="1:11" x14ac:dyDescent="0.3">
      <c r="D19" s="8" t="s">
        <v>13</v>
      </c>
      <c r="E19">
        <v>42</v>
      </c>
      <c r="G19" t="str">
        <v>California</v>
      </c>
      <c r="H19">
        <v>42</v>
      </c>
      <c r="K19" s="7" t="s">
        <v>372</v>
      </c>
    </row>
    <row r="20" spans="1:11" x14ac:dyDescent="0.3">
      <c r="D20" s="8" t="s">
        <v>206</v>
      </c>
      <c r="E20">
        <v>1</v>
      </c>
      <c r="G20" t="str">
        <v>Illinois</v>
      </c>
      <c r="H20">
        <v>1</v>
      </c>
      <c r="K20" s="8" t="s">
        <v>378</v>
      </c>
    </row>
    <row r="21" spans="1:11" x14ac:dyDescent="0.3">
      <c r="D21" s="8" t="s">
        <v>76</v>
      </c>
      <c r="E21">
        <v>2</v>
      </c>
      <c r="G21" t="str">
        <v>Nevada</v>
      </c>
      <c r="H21">
        <v>2</v>
      </c>
      <c r="K21" s="8" t="s">
        <v>373</v>
      </c>
    </row>
    <row r="22" spans="1:11" x14ac:dyDescent="0.3">
      <c r="D22" s="8" t="s">
        <v>18</v>
      </c>
      <c r="E22">
        <v>4</v>
      </c>
      <c r="G22" t="str">
        <v>Texas</v>
      </c>
      <c r="H22">
        <v>4</v>
      </c>
    </row>
    <row r="23" spans="1:11" x14ac:dyDescent="0.3">
      <c r="D23" s="8" t="s">
        <v>41</v>
      </c>
      <c r="E23">
        <v>1</v>
      </c>
      <c r="G23" t="str">
        <v>Washington</v>
      </c>
      <c r="H23">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860c455-48a8-436c-9759-fec8a92fd336">
      <Terms xmlns="http://schemas.microsoft.com/office/infopath/2007/PartnerControls"/>
    </lcf76f155ced4ddcb4097134ff3c332f>
    <TaxCatchAll xmlns="0e04d0a2-d003-4ca7-8a3e-cafb532ebd22" xsi:nil="true"/>
  </documentManagement>
</p:properti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2BD9D3A0F9C36C40977E04ED0BC78AD6" ma:contentTypeVersion="18" ma:contentTypeDescription="Create a new document." ma:contentTypeScope="" ma:versionID="ba6c3438462e4854a6cf6c5b9dca5ba6">
  <xsd:schema xmlns:xsd="http://www.w3.org/2001/XMLSchema" xmlns:xs="http://www.w3.org/2001/XMLSchema" xmlns:p="http://schemas.microsoft.com/office/2006/metadata/properties" xmlns:ns2="4860c455-48a8-436c-9759-fec8a92fd336" xmlns:ns3="0e04d0a2-d003-4ca7-8a3e-cafb532ebd22" targetNamespace="http://schemas.microsoft.com/office/2006/metadata/properties" ma:root="true" ma:fieldsID="150251480da4311df82cfb5b59256ac1" ns2:_="" ns3:_="">
    <xsd:import namespace="4860c455-48a8-436c-9759-fec8a92fd336"/>
    <xsd:import namespace="0e04d0a2-d003-4ca7-8a3e-cafb532ebd22"/>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LengthInSeconds" minOccurs="0"/>
                <xsd:element ref="ns2:lcf76f155ced4ddcb4097134ff3c332f" minOccurs="0"/>
                <xsd:element ref="ns3:TaxCatchAll" minOccurs="0"/>
                <xsd:element ref="ns2:MediaServiceLocation" minOccurs="0"/>
                <xsd:element ref="ns3:SharedWithUsers" minOccurs="0"/>
                <xsd:element ref="ns3:SharedWithDetails"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860c455-48a8-436c-9759-fec8a92fd3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f4d8f9d6-9daa-4c01-95ba-9fd911da6693" ma:termSetId="09814cd3-568e-fe90-9814-8d621ff8fb84" ma:anchorId="fba54fb3-c3e1-fe81-a776-ca4b69148c4d" ma:open="true" ma:isKeyword="false">
      <xsd:complexType>
        <xsd:sequence>
          <xsd:element ref="pc:Terms" minOccurs="0" maxOccurs="1"/>
        </xsd:sequence>
      </xsd:complexType>
    </xsd:element>
    <xsd:element name="MediaServiceLocation" ma:index="20" nillable="true" ma:displayName="Location"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e04d0a2-d003-4ca7-8a3e-cafb532ebd22"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3e6d5f93-1db3-4f6f-a8a8-77abb0bce52f}" ma:internalName="TaxCatchAll" ma:showField="CatchAllData" ma:web="0e04d0a2-d003-4ca7-8a3e-cafb532ebd22">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FE5EE3D-4FA2-4439-B1ED-96DA59614A6F}">
  <ds:schemaRefs>
    <ds:schemaRef ds:uri="http://purl.org/dc/elements/1.1/"/>
    <ds:schemaRef ds:uri="http://schemas.microsoft.com/office/2006/metadata/properties"/>
    <ds:schemaRef ds:uri="http://purl.org/dc/dcmitype/"/>
    <ds:schemaRef ds:uri="http://schemas.microsoft.com/office/2006/documentManagement/types"/>
    <ds:schemaRef ds:uri="0e04d0a2-d003-4ca7-8a3e-cafb532ebd22"/>
    <ds:schemaRef ds:uri="http://schemas.openxmlformats.org/package/2006/metadata/core-properties"/>
    <ds:schemaRef ds:uri="http://www.w3.org/XML/1998/namespace"/>
    <ds:schemaRef ds:uri="4860c455-48a8-436c-9759-fec8a92fd336"/>
    <ds:schemaRef ds:uri="http://schemas.microsoft.com/office/infopath/2007/PartnerControls"/>
    <ds:schemaRef ds:uri="http://purl.org/dc/terms/"/>
  </ds:schemaRefs>
</ds:datastoreItem>
</file>

<file path=customXml/itemProps2.xml><?xml version="1.0" encoding="utf-8"?>
<ds:datastoreItem xmlns:ds="http://schemas.openxmlformats.org/officeDocument/2006/customXml" ds:itemID="{FFF61E9F-99EC-45E4-9E87-213377807238}">
  <ds:schemaRefs>
    <ds:schemaRef ds:uri="http://schemas.microsoft.com/DataMashup"/>
  </ds:schemaRefs>
</ds:datastoreItem>
</file>

<file path=customXml/itemProps3.xml><?xml version="1.0" encoding="utf-8"?>
<ds:datastoreItem xmlns:ds="http://schemas.openxmlformats.org/officeDocument/2006/customXml" ds:itemID="{47DD52C2-3821-4082-8EC9-7781F880A1D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860c455-48a8-436c-9759-fec8a92fd336"/>
    <ds:schemaRef ds:uri="0e04d0a2-d003-4ca7-8a3e-cafb532ebd2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092C416-1206-47A8-A227-021971A6943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Report</vt:lpstr>
      <vt:lpstr>Employee_Data</vt:lpstr>
      <vt:lpstr>Calculations</vt:lpstr>
    </vt:vector>
  </TitlesOfParts>
  <Company>XelPlus.com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Barratt</dc:creator>
  <cp:keywords>XelPlus, Pivot Tables</cp:keywords>
  <dc:description>Belongs to XelPlus.com Excel Pivot Tables course</dc:description>
  <cp:lastModifiedBy>Stephen Barratt</cp:lastModifiedBy>
  <dcterms:created xsi:type="dcterms:W3CDTF">2024-07-02T06:35:23Z</dcterms:created>
  <dcterms:modified xsi:type="dcterms:W3CDTF">2026-03-07T22:24:30Z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0x0101002BD9D3A0F9C36C40977E04ED0BC78AD6</vt:lpwstr>
  </property>
  <property fmtid="{D5CDD505-2E9C-101B-9397-08002B2CF9AE}" pid="3" name="MediaServiceImageTags">
    <vt:lpwstr/>
  </property>
</Properties>
</file>